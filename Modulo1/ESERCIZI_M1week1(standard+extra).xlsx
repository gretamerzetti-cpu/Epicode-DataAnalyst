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retamerzetti/Desktop/Master- epicode/Excel - Modulo1/"/>
    </mc:Choice>
  </mc:AlternateContent>
  <xr:revisionPtr revIDLastSave="0" documentId="13_ncr:1_{07B63A8A-E1F5-D043-832A-9BD90331D7C2}" xr6:coauthVersionLast="47" xr6:coauthVersionMax="47" xr10:uidLastSave="{00000000-0000-0000-0000-000000000000}"/>
  <bookViews>
    <workbookView xWindow="0" yWindow="680" windowWidth="29400" windowHeight="17120" activeTab="7" xr2:uid="{00000000-000D-0000-FFFF-FFFF00000000}"/>
  </bookViews>
  <sheets>
    <sheet name="Assoluti_Iva" sheetId="1" r:id="rId1"/>
    <sheet name="Giudizio" sheetId="2" r:id="rId2"/>
    <sheet name="Fatture" sheetId="3" r:id="rId3"/>
    <sheet name="Parcheggio" sheetId="4" r:id="rId4"/>
    <sheet name="Frutta" sheetId="5" r:id="rId5"/>
    <sheet name="Cibi" sheetId="6" r:id="rId6"/>
    <sheet name="Peso" sheetId="7" r:id="rId7"/>
    <sheet name="Snacks" sheetId="8" r:id="rId8"/>
  </sheets>
  <definedNames>
    <definedName name="_xlnm._FilterDatabase" localSheetId="2" hidden="1">Fatture!$A$1:$X$80</definedName>
    <definedName name="_xlnm._FilterDatabase" localSheetId="4" hidden="1">Frutta!$A$1:$C$47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A8c3j6Gpcs9WxxLyaMhfa3BNFHmcVokSSfOSfierkvI="/>
    </ext>
  </extLst>
</workbook>
</file>

<file path=xl/calcChain.xml><?xml version="1.0" encoding="utf-8"?>
<calcChain xmlns="http://schemas.openxmlformats.org/spreadsheetml/2006/main">
  <c r="F11" i="5" l="1"/>
  <c r="G3" i="5"/>
  <c r="G4" i="5"/>
  <c r="G5" i="5"/>
  <c r="G6" i="5"/>
  <c r="G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D11" i="4"/>
  <c r="D21" i="4"/>
  <c r="D31" i="4"/>
  <c r="D41" i="4"/>
  <c r="D46" i="4"/>
  <c r="D51" i="4"/>
  <c r="D61" i="4"/>
  <c r="D71" i="4"/>
  <c r="D81" i="4"/>
  <c r="D91" i="4"/>
  <c r="D101" i="4"/>
  <c r="C3" i="4"/>
  <c r="D3" i="4" s="1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C42" i="4"/>
  <c r="D42" i="4" s="1"/>
  <c r="C43" i="4"/>
  <c r="D43" i="4" s="1"/>
  <c r="C44" i="4"/>
  <c r="D44" i="4" s="1"/>
  <c r="C45" i="4"/>
  <c r="D45" i="4" s="1"/>
  <c r="C46" i="4"/>
  <c r="C47" i="4"/>
  <c r="D47" i="4" s="1"/>
  <c r="C48" i="4"/>
  <c r="D48" i="4" s="1"/>
  <c r="C49" i="4"/>
  <c r="D49" i="4" s="1"/>
  <c r="C50" i="4"/>
  <c r="D50" i="4" s="1"/>
  <c r="C51" i="4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60" i="4"/>
  <c r="D60" i="4" s="1"/>
  <c r="C61" i="4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C72" i="4"/>
  <c r="D72" i="4" s="1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C92" i="4"/>
  <c r="D92" i="4" s="1"/>
  <c r="C93" i="4"/>
  <c r="D93" i="4" s="1"/>
  <c r="C94" i="4"/>
  <c r="D94" i="4" s="1"/>
  <c r="C95" i="4"/>
  <c r="D95" i="4" s="1"/>
  <c r="C96" i="4"/>
  <c r="D96" i="4" s="1"/>
  <c r="C97" i="4"/>
  <c r="D97" i="4" s="1"/>
  <c r="C98" i="4"/>
  <c r="D98" i="4" s="1"/>
  <c r="C99" i="4"/>
  <c r="D99" i="4" s="1"/>
  <c r="C100" i="4"/>
  <c r="D100" i="4" s="1"/>
  <c r="C101" i="4"/>
  <c r="C2" i="4"/>
  <c r="D2" i="4" s="1"/>
  <c r="F2" i="5"/>
  <c r="F3" i="5"/>
  <c r="F4" i="5"/>
  <c r="F5" i="5"/>
  <c r="F6" i="5"/>
  <c r="C3" i="2"/>
  <c r="C4" i="2"/>
  <c r="C5" i="2"/>
  <c r="C6" i="2"/>
  <c r="C7" i="2"/>
  <c r="C8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  <c r="H12" i="3"/>
  <c r="H11" i="3"/>
  <c r="H13" i="3"/>
  <c r="H14" i="3"/>
  <c r="H15" i="3"/>
  <c r="H16" i="3"/>
  <c r="H17" i="3"/>
  <c r="H18" i="3"/>
  <c r="H19" i="3"/>
  <c r="H10" i="3"/>
  <c r="H3" i="3"/>
  <c r="H4" i="3"/>
  <c r="H5" i="3"/>
  <c r="H2" i="3"/>
  <c r="I2" i="3"/>
  <c r="I11" i="3"/>
  <c r="I12" i="3"/>
  <c r="I13" i="3"/>
  <c r="I14" i="3"/>
  <c r="I15" i="3"/>
  <c r="I16" i="3"/>
  <c r="I17" i="3"/>
  <c r="I18" i="3"/>
  <c r="I19" i="3"/>
  <c r="I10" i="3"/>
  <c r="I5" i="3"/>
  <c r="I4" i="3"/>
  <c r="I3" i="3"/>
  <c r="C1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</calcChain>
</file>

<file path=xl/sharedStrings.xml><?xml version="1.0" encoding="utf-8"?>
<sst xmlns="http://schemas.openxmlformats.org/spreadsheetml/2006/main" count="1019" uniqueCount="727">
  <si>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</si>
  <si>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</si>
  <si>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</si>
  <si>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</si>
  <si>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</si>
  <si>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</si>
  <si>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</si>
  <si>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</si>
  <si>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</si>
  <si>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</si>
  <si>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</si>
  <si>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</si>
  <si>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</si>
  <si>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</si>
  <si>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</si>
  <si>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</si>
  <si>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</si>
  <si>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</si>
  <si>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</si>
  <si>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</si>
  <si>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</si>
  <si>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</si>
  <si>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</si>
  <si>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</si>
  <si>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</si>
  <si>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</si>
  <si>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</si>
  <si>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</si>
  <si>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</si>
  <si>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</si>
  <si>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</si>
  <si>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</si>
  <si>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</si>
  <si>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</si>
  <si>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</si>
  <si>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</si>
  <si>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</si>
  <si>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</si>
  <si>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</si>
  <si>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</si>
  <si>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</si>
  <si>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</si>
  <si>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</si>
  <si>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</si>
  <si>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</si>
  <si>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</si>
  <si>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</si>
  <si>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</si>
  <si>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</si>
  <si>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</si>
  <si>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</si>
  <si>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</si>
  <si>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</si>
  <si>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</si>
  <si>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</si>
  <si>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</si>
  <si>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</si>
  <si>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</si>
  <si>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</si>
  <si>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</si>
  <si>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</si>
  <si>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</si>
  <si>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</si>
  <si>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</si>
  <si>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</si>
  <si>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</si>
  <si>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</si>
  <si>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</si>
  <si>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</si>
  <si>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</si>
  <si>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</si>
  <si>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</si>
  <si>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</si>
  <si>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</si>
  <si>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</si>
  <si>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</si>
  <si>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</si>
  <si>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</si>
  <si>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</si>
  <si>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</si>
  <si>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</si>
  <si>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</si>
  <si>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</si>
  <si>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</si>
  <si>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</si>
  <si>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</si>
  <si>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</si>
  <si>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</si>
  <si>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</si>
  <si>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</si>
  <si>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</si>
  <si>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</si>
  <si>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</si>
  <si>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</si>
  <si>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</si>
  <si>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</si>
  <si>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</si>
  <si>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</si>
  <si>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</si>
  <si>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</si>
  <si>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</si>
  <si>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</si>
  <si>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</si>
  <si>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</si>
  <si>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</si>
  <si>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</si>
  <si>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</si>
  <si>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</si>
  <si>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</si>
  <si>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</si>
  <si>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</si>
  <si>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</si>
  <si>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</si>
  <si>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</si>
  <si>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</si>
  <si>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</si>
  <si>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</si>
  <si>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</si>
  <si>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</si>
  <si>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</si>
  <si>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</si>
  <si>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</si>
  <si>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</si>
  <si>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</si>
  <si>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</si>
  <si>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</si>
  <si>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</si>
  <si>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</si>
  <si>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</si>
  <si>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</si>
  <si>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</si>
  <si>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</si>
  <si>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</si>
  <si>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</si>
  <si>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</si>
  <si>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</si>
  <si>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</si>
  <si>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</si>
  <si>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</si>
  <si>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</si>
  <si>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</si>
  <si>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</si>
  <si>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</si>
  <si>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</si>
  <si>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</si>
  <si>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</si>
  <si>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</si>
  <si>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</si>
  <si>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</si>
  <si>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</si>
  <si>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</si>
  <si>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</si>
  <si>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</si>
  <si>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</si>
  <si>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</si>
  <si>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</si>
  <si>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</si>
  <si>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</si>
  <si>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</si>
  <si>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</si>
  <si>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</si>
  <si>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</si>
  <si>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</si>
  <si>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</si>
  <si>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</si>
  <si>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</si>
  <si>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</si>
  <si>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</si>
  <si>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</si>
  <si>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</si>
  <si>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</si>
  <si>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</si>
  <si>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</si>
  <si>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</si>
  <si>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</si>
  <si>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</si>
  <si>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</si>
  <si>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</si>
  <si>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</si>
  <si>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</si>
  <si>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</si>
  <si>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</si>
  <si>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</si>
  <si>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</si>
  <si>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</si>
  <si>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</si>
  <si>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</si>
  <si>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</si>
  <si>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</si>
  <si>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</si>
  <si>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</si>
  <si>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</si>
  <si>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</si>
  <si>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</si>
  <si>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</si>
  <si>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</si>
  <si>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</si>
  <si>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</si>
  <si>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</si>
  <si>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</si>
  <si>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</si>
  <si>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</si>
  <si>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</si>
  <si>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</si>
  <si>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</si>
  <si>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</si>
  <si>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</si>
  <si>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</si>
  <si>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</si>
  <si>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</si>
  <si>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</si>
  <si>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</si>
  <si>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</si>
  <si>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</si>
  <si>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</si>
  <si>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</si>
  <si>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</si>
  <si>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</si>
  <si>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</si>
  <si>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</si>
  <si>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</si>
  <si>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</si>
  <si>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</si>
  <si>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</si>
  <si>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</si>
  <si>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</si>
  <si>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</si>
  <si>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</si>
  <si>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</si>
  <si>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</si>
  <si>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</si>
  <si>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</si>
  <si>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</si>
  <si>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</si>
  <si>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</si>
  <si>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</si>
  <si>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</si>
  <si>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</si>
  <si>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</si>
  <si>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</si>
  <si>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</si>
  <si>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</si>
  <si>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</si>
  <si>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</si>
  <si>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</si>
  <si>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</si>
  <si>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</si>
  <si>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</si>
  <si>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</si>
  <si>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</si>
  <si>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</si>
  <si>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</si>
  <si>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</si>
  <si>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</si>
  <si>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</si>
  <si>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</si>
  <si>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</si>
  <si>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</si>
  <si>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</si>
  <si>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</si>
  <si>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</si>
  <si>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</si>
  <si>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</si>
  <si>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</si>
  <si>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</si>
  <si>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</si>
  <si>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</si>
  <si>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</si>
  <si>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</si>
  <si>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</si>
  <si>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</si>
  <si>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</si>
  <si>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</si>
  <si>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</si>
  <si>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</si>
  <si>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</si>
  <si>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</si>
  <si>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</si>
  <si>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</si>
  <si>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</si>
  <si>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</si>
  <si>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</si>
  <si>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</si>
  <si>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</si>
  <si>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</si>
  <si>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</si>
  <si>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</si>
  <si>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</si>
  <si>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</si>
  <si>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</si>
  <si>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</si>
  <si>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</si>
  <si>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</si>
  <si>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</si>
  <si>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</si>
  <si>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</si>
  <si>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</si>
  <si>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</si>
  <si>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</si>
  <si>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</si>
  <si>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</si>
  <si>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</si>
  <si>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</si>
  <si>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</si>
  <si>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</si>
  <si>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</si>
  <si>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</si>
  <si>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</si>
  <si>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</si>
  <si>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</si>
  <si>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</si>
  <si>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</si>
  <si>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</si>
  <si>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</si>
  <si>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</si>
  <si>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</si>
  <si>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</si>
  <si>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</si>
  <si>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</si>
  <si>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</si>
  <si>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</si>
  <si>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</si>
  <si>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</si>
  <si>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</si>
  <si>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</si>
  <si>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</si>
  <si>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</si>
  <si>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</si>
  <si>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</si>
  <si>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</si>
  <si>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</si>
  <si>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</si>
  <si>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</si>
  <si>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</si>
  <si>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</si>
  <si>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</si>
  <si>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</si>
  <si>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</si>
  <si>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</si>
  <si>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</si>
  <si>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</si>
  <si>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</si>
  <si>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</si>
  <si>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</si>
  <si>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</si>
  <si>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</si>
  <si>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</si>
  <si>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</si>
  <si>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</si>
  <si>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</si>
  <si>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</si>
  <si>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</si>
  <si>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</si>
  <si>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</si>
  <si>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</si>
  <si>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</si>
  <si>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</si>
  <si>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</si>
  <si>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</si>
  <si>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</si>
  <si>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</si>
  <si>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</si>
  <si>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</si>
  <si>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</si>
  <si>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</si>
  <si>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</si>
  <si>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</si>
  <si>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</si>
  <si>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</si>
  <si>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</si>
  <si>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</si>
  <si>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</si>
  <si>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</si>
  <si>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</si>
  <si>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</si>
  <si>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</si>
  <si>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</si>
  <si>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</si>
  <si>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</si>
  <si>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</si>
  <si>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</si>
  <si>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</si>
  <si>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</si>
  <si>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</si>
  <si>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</si>
  <si>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</si>
  <si>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</si>
  <si>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</si>
  <si>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</si>
  <si>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</si>
  <si>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</si>
  <si>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</si>
  <si>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</si>
  <si>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</si>
  <si>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</si>
  <si>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</si>
  <si>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</si>
  <si>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</si>
  <si>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</si>
  <si>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</si>
  <si>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</si>
  <si>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</si>
  <si>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</si>
  <si>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</si>
  <si>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</si>
  <si>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</si>
  <si>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</si>
  <si>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</si>
  <si>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</si>
  <si>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</si>
  <si>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</si>
  <si>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</si>
  <si>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</si>
  <si>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</si>
  <si>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</si>
  <si>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</si>
  <si>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</si>
  <si>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</si>
  <si>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</si>
  <si>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</si>
  <si>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</si>
  <si>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</si>
  <si>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</si>
  <si>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</si>
  <si>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</si>
  <si>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</si>
  <si>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</si>
  <si>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</si>
  <si>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</si>
  <si>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</si>
  <si>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</si>
  <si>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</si>
  <si>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</si>
  <si>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</si>
  <si>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</si>
  <si>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</si>
  <si>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</si>
  <si>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</si>
  <si>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</si>
  <si>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</si>
  <si>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</si>
  <si>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</si>
  <si>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</si>
  <si>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</si>
  <si>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</si>
  <si>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</si>
  <si>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</si>
  <si>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</si>
  <si>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</si>
  <si>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</si>
  <si>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</si>
  <si>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</si>
  <si>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</si>
  <si>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</si>
  <si>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</si>
  <si>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</si>
  <si>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</si>
  <si>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</si>
  <si>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</si>
  <si>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</si>
  <si>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</si>
  <si>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</si>
  <si>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</si>
  <si>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</si>
  <si>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</si>
  <si>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</si>
  <si>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</si>
  <si>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</si>
  <si>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</si>
  <si>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</si>
  <si>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</si>
  <si>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</si>
  <si>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</si>
  <si>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</si>
  <si>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</si>
  <si>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</si>
  <si>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</si>
  <si>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</si>
  <si>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</si>
  <si>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</si>
  <si>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</si>
  <si>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</si>
  <si>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</si>
  <si>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</si>
  <si>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</si>
  <si>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</si>
  <si>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</si>
  <si>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</si>
  <si>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</si>
  <si>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</si>
  <si>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</si>
  <si>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</si>
  <si>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</si>
  <si>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</si>
  <si>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</si>
  <si>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</si>
  <si>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</si>
  <si>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</si>
  <si>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</si>
  <si>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</si>
  <si>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</si>
  <si>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</si>
  <si>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</si>
  <si>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</si>
  <si>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</si>
  <si>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</si>
  <si>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</si>
  <si>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</si>
  <si>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</si>
  <si>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</si>
  <si>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</si>
  <si>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</si>
  <si>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</si>
  <si>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</si>
  <si>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</si>
  <si>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</si>
  <si>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</si>
  <si>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</si>
  <si>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</si>
  <si>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</si>
  <si>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</si>
  <si>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</si>
  <si>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</si>
  <si>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</si>
  <si>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</si>
  <si>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</si>
  <si>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</si>
  <si>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</si>
  <si>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</si>
  <si>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</si>
  <si>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</si>
  <si>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</si>
  <si>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</si>
  <si>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</si>
  <si>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</si>
  <si>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</si>
  <si>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</si>
  <si>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</si>
  <si>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</si>
  <si>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</si>
  <si>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</si>
  <si>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</si>
  <si>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</si>
  <si>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</si>
  <si>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</si>
  <si>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</si>
  <si>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</si>
  <si>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</si>
  <si>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</si>
  <si>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</si>
  <si>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</si>
  <si>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</si>
  <si>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</si>
  <si>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</si>
  <si>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</si>
  <si>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</si>
  <si>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</si>
  <si>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</si>
  <si>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</si>
  <si>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</si>
  <si>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</si>
  <si>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</si>
  <si>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</si>
  <si>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</si>
  <si>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</si>
  <si>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</si>
  <si>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</si>
  <si>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</si>
  <si>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</si>
  <si>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</si>
  <si>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UNIONE MONITOR E DESC</t>
  </si>
  <si>
    <t>RESPINTO</t>
  </si>
  <si>
    <t>SUFFICIENTE</t>
  </si>
  <si>
    <t>DISCRETO</t>
  </si>
  <si>
    <t>BUONO</t>
  </si>
  <si>
    <t>alimentari</t>
  </si>
  <si>
    <t>personale</t>
  </si>
  <si>
    <t>hardware</t>
  </si>
  <si>
    <t>categorie</t>
  </si>
  <si>
    <t>totale fatture</t>
  </si>
  <si>
    <t>totale fatturato</t>
  </si>
  <si>
    <t>clienti</t>
  </si>
  <si>
    <t>voto</t>
  </si>
  <si>
    <t>giudizio</t>
  </si>
  <si>
    <t>TARGA</t>
  </si>
  <si>
    <t>ORE PARCHEGGIATE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</si>
  <si>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</si>
  <si>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</si>
  <si>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</si>
  <si>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</si>
  <si>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</si>
  <si>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</si>
  <si>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</si>
  <si>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</si>
  <si>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</si>
  <si>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</si>
  <si>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</si>
  <si>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</si>
  <si>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</si>
  <si>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</si>
  <si>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</si>
  <si>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</si>
  <si>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</si>
  <si>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</si>
  <si>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</si>
  <si>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</si>
  <si>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</si>
  <si>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</si>
  <si>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</si>
  <si>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</si>
  <si>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</si>
  <si>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</si>
  <si>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</si>
  <si>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</si>
  <si>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</si>
  <si>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</si>
  <si>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</si>
  <si>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</si>
  <si>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</si>
  <si>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</si>
  <si>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</si>
  <si>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</si>
  <si>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</si>
  <si>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</si>
  <si>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</si>
  <si>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</si>
  <si>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</si>
  <si>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</si>
  <si>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</si>
  <si>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</si>
  <si>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</si>
  <si>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</si>
  <si>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</si>
  <si>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</si>
  <si>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</si>
  <si>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</si>
  <si>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</si>
  <si>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</si>
  <si>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</si>
  <si>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</si>
  <si>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</si>
  <si>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</si>
  <si>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</si>
  <si>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</si>
  <si>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</si>
  <si>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</si>
  <si>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</si>
  <si>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</si>
  <si>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</si>
  <si>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</si>
  <si>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</si>
  <si>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</si>
  <si>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</si>
  <si>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</si>
  <si>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</si>
  <si>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</si>
  <si>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</si>
  <si>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</si>
  <si>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</si>
  <si>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</si>
  <si>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</si>
  <si>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</si>
  <si>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</si>
  <si>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</si>
  <si>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</si>
  <si>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</si>
  <si>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</si>
  <si>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</si>
  <si>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</si>
  <si>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</si>
  <si>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</si>
  <si>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</si>
  <si>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</si>
  <si>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</si>
  <si>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</si>
  <si>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</si>
  <si>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</si>
  <si>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</si>
  <si>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</si>
  <si>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</si>
  <si>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</si>
  <si>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</si>
  <si>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</si>
  <si>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</si>
  <si>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</si>
  <si>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</si>
  <si>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</si>
  <si>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</si>
  <si>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</si>
  <si>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</si>
  <si>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</si>
  <si>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</si>
  <si>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</si>
  <si>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</si>
  <si>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</si>
  <si>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</si>
  <si>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</si>
  <si>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</si>
  <si>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</si>
  <si>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</si>
  <si>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</si>
  <si>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</si>
  <si>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</si>
  <si>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</si>
  <si>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</si>
  <si>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</si>
  <si>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</si>
  <si>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</si>
  <si>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</si>
  <si>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</si>
  <si>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</si>
  <si>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</si>
  <si>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</si>
  <si>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</si>
  <si>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</si>
  <si>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</si>
  <si>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</si>
  <si>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</si>
  <si>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>FRUTTO</t>
  </si>
  <si>
    <t>NUMERO RIPETIZIONE</t>
  </si>
  <si>
    <t>TOTALE FRUTTO</t>
  </si>
  <si>
    <t>iniziale targa</t>
  </si>
  <si>
    <t>CATEGORIA</t>
  </si>
  <si>
    <t>TARIFFA</t>
  </si>
  <si>
    <t>ORA</t>
  </si>
  <si>
    <t>1 EURO OGNI 30</t>
  </si>
  <si>
    <t>MEZZ'ORA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</si>
</sst>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  <numFmt numFmtId="168" formatCode="[$-F400]h:mm:ss\ AM/PM"/>
  </numFmts>
  <fonts count="13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54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8" fillId="0" borderId="0" xfId="0" applyNumberFormat="1" applyFont="1"/>
    <xf numFmtId="0" fontId="3" fillId="2" borderId="2" xfId="0" applyFont="1" applyFill="1" applyBorder="1"/>
    <xf numFmtId="0" fontId="3" fillId="2" borderId="3" xfId="0" applyFont="1" applyFill="1" applyBorder="1"/>
    <xf numFmtId="0" fontId="4" fillId="0" borderId="4" xfId="0" applyFont="1" applyBorder="1"/>
    <xf numFmtId="0" fontId="10" fillId="0" borderId="5" xfId="0" applyFont="1" applyBorder="1"/>
    <xf numFmtId="0" fontId="4" fillId="0" borderId="6" xfId="0" applyFont="1" applyBorder="1"/>
    <xf numFmtId="0" fontId="10" fillId="0" borderId="7" xfId="0" applyFont="1" applyBorder="1"/>
    <xf numFmtId="0" fontId="3" fillId="2" borderId="0" xfId="0" applyFont="1" applyFill="1"/>
    <xf numFmtId="0" fontId="4" fillId="3" borderId="0" xfId="0" applyFont="1" applyFill="1"/>
    <xf numFmtId="0" fontId="0" fillId="0" borderId="9" xfId="0" applyBorder="1"/>
    <xf numFmtId="0" fontId="11" fillId="0" borderId="2" xfId="0" applyFont="1" applyBorder="1"/>
    <xf numFmtId="0" fontId="11" fillId="0" borderId="8" xfId="0" applyFont="1" applyBorder="1"/>
    <xf numFmtId="0" fontId="11" fillId="0" borderId="3" xfId="0" applyFont="1" applyBorder="1"/>
    <xf numFmtId="0" fontId="7" fillId="0" borderId="4" xfId="0" applyFont="1" applyBorder="1"/>
    <xf numFmtId="167" fontId="0" fillId="0" borderId="5" xfId="0" applyNumberFormat="1" applyBorder="1"/>
    <xf numFmtId="0" fontId="9" fillId="0" borderId="4" xfId="0" applyFont="1" applyBorder="1"/>
    <xf numFmtId="0" fontId="9" fillId="0" borderId="6" xfId="0" applyFont="1" applyBorder="1"/>
    <xf numFmtId="167" fontId="0" fillId="0" borderId="7" xfId="0" applyNumberFormat="1" applyBorder="1"/>
    <xf numFmtId="0" fontId="7" fillId="0" borderId="6" xfId="0" applyFont="1" applyBorder="1"/>
    <xf numFmtId="0" fontId="12" fillId="0" borderId="0" xfId="1" applyFont="1"/>
    <xf numFmtId="0" fontId="9" fillId="0" borderId="0" xfId="1"/>
    <xf numFmtId="0" fontId="4" fillId="0" borderId="0" xfId="1" applyFont="1"/>
    <xf numFmtId="0" fontId="12" fillId="0" borderId="2" xfId="1" applyFont="1" applyBorder="1"/>
    <xf numFmtId="0" fontId="12" fillId="0" borderId="3" xfId="1" applyFont="1" applyBorder="1"/>
    <xf numFmtId="0" fontId="4" fillId="0" borderId="4" xfId="1" applyFont="1" applyBorder="1"/>
    <xf numFmtId="0" fontId="9" fillId="0" borderId="5" xfId="1" applyBorder="1"/>
    <xf numFmtId="0" fontId="4" fillId="0" borderId="6" xfId="1" applyFont="1" applyBorder="1"/>
    <xf numFmtId="0" fontId="9" fillId="0" borderId="7" xfId="1" applyBorder="1"/>
    <xf numFmtId="0" fontId="12" fillId="0" borderId="10" xfId="1" applyFont="1" applyBorder="1"/>
    <xf numFmtId="0" fontId="9" fillId="0" borderId="11" xfId="1" applyBorder="1"/>
    <xf numFmtId="0" fontId="9" fillId="0" borderId="12" xfId="1" applyBorder="1"/>
    <xf numFmtId="0" fontId="4" fillId="0" borderId="13" xfId="1" applyFont="1" applyBorder="1"/>
    <xf numFmtId="0" fontId="9" fillId="0" borderId="14" xfId="1" applyBorder="1"/>
    <xf numFmtId="0" fontId="9" fillId="0" borderId="4" xfId="1" applyBorder="1"/>
    <xf numFmtId="0" fontId="9" fillId="0" borderId="6" xfId="1" applyBorder="1"/>
    <xf numFmtId="0" fontId="9" fillId="0" borderId="9" xfId="1" applyBorder="1"/>
    <xf numFmtId="167" fontId="9" fillId="0" borderId="0" xfId="1" applyNumberFormat="1"/>
    <xf numFmtId="0" fontId="12" fillId="0" borderId="8" xfId="1" applyFont="1" applyBorder="1"/>
    <xf numFmtId="168" fontId="9" fillId="0" borderId="5" xfId="1" applyNumberFormat="1" applyBorder="1"/>
    <xf numFmtId="168" fontId="9" fillId="0" borderId="7" xfId="1" applyNumberFormat="1" applyBorder="1"/>
    <xf numFmtId="0" fontId="9" fillId="0" borderId="10" xfId="1" applyBorder="1"/>
  </cellXfs>
  <cellStyles count="2">
    <cellStyle name="Normale" xfId="0" builtinId="0"/>
    <cellStyle name="Normale 2" xfId="1" xr:uid="{0CD0B62D-D326-3040-BA4A-1190F973D66E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colors>
    <mruColors>
      <color rgb="FF01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VOTI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5A-CF45-85D8-81BC711736E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5A-CF45-85D8-81BC711736E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5A-CF45-85D8-81BC711736E6}"/>
              </c:ext>
            </c:extLst>
          </c:dPt>
          <c:dPt>
            <c:idx val="3"/>
            <c:bubble3D val="0"/>
            <c:spPr>
              <a:solidFill>
                <a:srgbClr val="01FFE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E0-D144-BED9-CD06F9CBE94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5A-CF45-85D8-81BC711736E6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5A-CF45-85D8-81BC711736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5A-CF45-85D8-81BC711736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0-D144-BED9-CD06F9CBE9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D-4B4E-A070-3D2E076B6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747200"/>
        <c:axId val="379740032"/>
      </c:lineChart>
      <c:catAx>
        <c:axId val="37974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9740032"/>
        <c:crosses val="autoZero"/>
        <c:auto val="1"/>
        <c:lblAlgn val="ctr"/>
        <c:lblOffset val="100"/>
        <c:noMultiLvlLbl val="0"/>
      </c:catAx>
      <c:valAx>
        <c:axId val="3797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974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SNACK: PREFERENZE NAZIONALI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4-4A4E-B473-FA7C55E2D97D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4-4A4E-B473-FA7C55E2D97D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F4-4A4E-B473-FA7C55E2D97D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F4-4A4E-B473-FA7C55E2D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433024"/>
        <c:axId val="377431232"/>
      </c:barChart>
      <c:catAx>
        <c:axId val="3774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431232"/>
        <c:crosses val="autoZero"/>
        <c:auto val="1"/>
        <c:lblAlgn val="ctr"/>
        <c:lblOffset val="100"/>
        <c:noMultiLvlLbl val="0"/>
      </c:catAx>
      <c:valAx>
        <c:axId val="3774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4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0</xdr:row>
      <xdr:rowOff>101600</xdr:rowOff>
    </xdr:from>
    <xdr:to>
      <xdr:col>9</xdr:col>
      <xdr:colOff>584200</xdr:colOff>
      <xdr:row>28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DC202C5-9AB7-0C1C-ED3C-B45C69C66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1225550</xdr:colOff>
      <xdr:row>4</xdr:row>
      <xdr:rowOff>44450</xdr:rowOff>
    </xdr:from>
    <xdr:to>
      <xdr:col>12</xdr:col>
      <xdr:colOff>698500</xdr:colOff>
      <xdr:row>36</xdr:row>
      <xdr:rowOff>127000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DE7CBA2-A4C4-2713-3D1C-D2AE7ADCD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933450</xdr:colOff>
      <xdr:row>0</xdr:row>
      <xdr:rowOff>114300</xdr:rowOff>
    </xdr:from>
    <xdr:to>
      <xdr:col>17</xdr:col>
      <xdr:colOff>457200</xdr:colOff>
      <xdr:row>38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8CCB618-E6CB-9A57-7F74-4831A7FF3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 tableBorderDxfId="4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3">
      <calculatedColumnFormula>IF(Table_1[[#This Row],[Column2]]&gt;=G1,H2,H1)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693B01-DEFD-864D-A7DB-F13196125333}" name="Tabella2" displayName="Tabella2" ref="A1:B31" totalsRowShown="0" dataDxfId="2" headerRowCellStyle="Normale 2" dataCellStyle="Normale 2">
  <autoFilter ref="A1:B31" xr:uid="{CC693B01-DEFD-864D-A7DB-F13196125333}"/>
  <tableColumns count="2">
    <tableColumn id="1" xr3:uid="{23598D71-CAEE-9B41-8B33-6C8564F91166}" name="GIORNO" dataDxfId="1" dataCellStyle="Normale 2"/>
    <tableColumn id="2" xr3:uid="{340D1951-0B41-E347-A576-8001BF471CC1}" name="PESO" dataDxfId="0" dataCellStyle="Normale 2"/>
  </tableColumns>
  <tableStyleInfo name="Giudizio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zoomScale="75" workbookViewId="0">
      <pane ySplit="1" topLeftCell="A2" activePane="bottomLeft" state="frozen"/>
      <selection pane="bottomLeft" activeCell="E2" sqref="E2"/>
    </sheetView>
  </sheetViews>
  <sheetFormatPr baseColWidth="10" defaultColWidth="14.3984375" defaultRowHeight="15" customHeight="1" x14ac:dyDescent="0.2"/>
  <cols>
    <col min="1" max="1" width="48" bestFit="1" customWidth="1"/>
    <col min="2" max="2" width="64.3984375" bestFit="1" customWidth="1"/>
    <col min="3" max="3" width="29.19921875" bestFit="1" customWidth="1"/>
    <col min="4" max="4" width="20" customWidth="1"/>
    <col min="5" max="5" width="102.796875" bestFit="1" customWidth="1"/>
    <col min="6" max="6" width="28.3984375" customWidth="1"/>
    <col min="7" max="7" width="21.59765625" customWidth="1"/>
    <col min="8" max="26" width="8.796875" customWidth="1"/>
  </cols>
  <sheetData>
    <row r="1" spans="1:26" ht="17" customHeight="1" x14ac:dyDescent="0.2">
      <c r="A1" s="1" t="s">
        <v>0</v>
      </c>
      <c r="B1" s="1" t="s">
        <v>1</v>
      </c>
      <c r="C1" s="2" t="s">
        <v>2</v>
      </c>
      <c r="D1" s="13" t="s">
        <v>569</v>
      </c>
      <c r="E1" s="13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 x14ac:dyDescent="0.2">
      <c r="A2" s="4" t="s">
        <v>3</v>
      </c>
      <c r="B2" s="4" t="s">
        <v>4</v>
      </c>
      <c r="C2" s="5">
        <v>281000</v>
      </c>
      <c r="D2" s="5">
        <f>C2*0.16</f>
        <v>44960</v>
      </c>
      <c r="E2" s="4" t="str">
        <f>_xlfn.CONCAT(A2,"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customHeight="1" x14ac:dyDescent="0.2">
      <c r="A3" s="4" t="s">
        <v>5</v>
      </c>
      <c r="B3" s="4" t="s">
        <v>6</v>
      </c>
      <c r="C3" s="5">
        <v>323000</v>
      </c>
      <c r="D3" s="5">
        <f t="shared" ref="D3:D66" si="0">C3*0.16</f>
        <v>51680</v>
      </c>
      <c r="E3" s="4" t="str">
        <f t="shared" ref="E3:E66" si="1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" customHeight="1" x14ac:dyDescent="0.2">
      <c r="A4" s="4" t="s">
        <v>7</v>
      </c>
      <c r="B4" s="4" t="s">
        <v>8</v>
      </c>
      <c r="C4" s="5">
        <v>344000</v>
      </c>
      <c r="D4" s="5">
        <f t="shared" si="0"/>
        <v>55040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0" customHeight="1" x14ac:dyDescent="0.2">
      <c r="A5" s="4" t="s">
        <v>9</v>
      </c>
      <c r="B5" s="4" t="s">
        <v>10</v>
      </c>
      <c r="C5" s="5">
        <v>361000</v>
      </c>
      <c r="D5" s="5">
        <f t="shared" si="0"/>
        <v>57760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>
        <f t="shared" si="0"/>
        <v>83360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>
        <f t="shared" si="0"/>
        <v>84320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>
        <f t="shared" si="0"/>
        <v>100160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>
        <f t="shared" si="0"/>
        <v>104960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>
        <f t="shared" si="0"/>
        <v>106560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>
        <f t="shared" si="0"/>
        <v>141120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>
        <f t="shared" si="0"/>
        <v>177280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>
        <f t="shared" si="0"/>
        <v>210560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>
        <f t="shared" si="0"/>
        <v>255040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>
        <f t="shared" si="0"/>
        <v>435040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>
        <f t="shared" si="0"/>
        <v>654720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>
        <f t="shared" si="0"/>
        <v>2217440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>
        <f t="shared" si="0"/>
        <v>26720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>
        <f t="shared" si="0"/>
        <v>32320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>
        <f t="shared" si="0"/>
        <v>32480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>
        <f t="shared" si="0"/>
        <v>37440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>
        <f t="shared" si="0"/>
        <v>40320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>
        <f t="shared" si="0"/>
        <v>41440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>
        <f t="shared" si="0"/>
        <v>43040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>
        <f t="shared" si="0"/>
        <v>43360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>
        <f t="shared" si="0"/>
        <v>46720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>
        <f t="shared" si="0"/>
        <v>46880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>
        <f t="shared" si="0"/>
        <v>49120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>
        <f t="shared" si="0"/>
        <v>70400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>
        <f t="shared" si="0"/>
        <v>77920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>
        <f t="shared" si="0"/>
        <v>90560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>
        <f t="shared" si="0"/>
        <v>128320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>
        <f t="shared" si="0"/>
        <v>252640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>
        <f t="shared" si="0"/>
        <v>11200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>
        <f t="shared" si="0"/>
        <v>16640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>
        <f t="shared" si="0"/>
        <v>20320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>
        <f t="shared" si="0"/>
        <v>25920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>
        <f t="shared" si="0"/>
        <v>28640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>
        <f t="shared" si="0"/>
        <v>29760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>
        <f t="shared" si="0"/>
        <v>29760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>
        <f t="shared" si="0"/>
        <v>32480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>
        <f t="shared" si="0"/>
        <v>33920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>
        <f t="shared" si="0"/>
        <v>35520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>
        <f t="shared" si="0"/>
        <v>39200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>
        <f t="shared" si="0"/>
        <v>40160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>
        <f t="shared" si="0"/>
        <v>41120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>
        <f t="shared" si="0"/>
        <v>43040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>
        <f t="shared" si="0"/>
        <v>50240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>
        <f t="shared" si="0"/>
        <v>52000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>
        <f t="shared" si="0"/>
        <v>55520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>
        <f t="shared" si="0"/>
        <v>59040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>
        <f t="shared" si="0"/>
        <v>64320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>
        <f t="shared" si="0"/>
        <v>75360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>
        <f t="shared" si="0"/>
        <v>76160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>
        <f t="shared" si="0"/>
        <v>78720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>
        <f t="shared" si="0"/>
        <v>84960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>
        <f t="shared" si="0"/>
        <v>88320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>
        <f t="shared" si="0"/>
        <v>237920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>
        <f t="shared" si="0"/>
        <v>16160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>
        <f t="shared" si="0"/>
        <v>6080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>
        <f t="shared" si="0"/>
        <v>21920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>
        <f t="shared" si="0"/>
        <v>35520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>
        <f t="shared" ref="D67:D130" si="2">C67*0.16</f>
        <v>80160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>
        <f t="shared" si="2"/>
        <v>68480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>
        <f t="shared" si="2"/>
        <v>89760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>
        <f t="shared" si="2"/>
        <v>252480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>
        <f t="shared" si="2"/>
        <v>5440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>
        <f t="shared" si="2"/>
        <v>3200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>
        <f t="shared" si="2"/>
        <v>3680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>
        <f t="shared" si="2"/>
        <v>15680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>
        <f t="shared" si="2"/>
        <v>40160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>
        <f t="shared" si="2"/>
        <v>2400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>
        <f t="shared" si="2"/>
        <v>2240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>
        <f t="shared" si="2"/>
        <v>63840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>
        <f t="shared" si="2"/>
        <v>41440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>
        <f t="shared" si="2"/>
        <v>51840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>
        <f t="shared" si="2"/>
        <v>60480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>
        <f t="shared" si="2"/>
        <v>75040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>
        <f t="shared" si="2"/>
        <v>88960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>
        <f t="shared" si="2"/>
        <v>76160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>
        <f t="shared" si="2"/>
        <v>76320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>
        <f t="shared" si="2"/>
        <v>88960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>
        <f t="shared" si="2"/>
        <v>111200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>
        <f t="shared" si="2"/>
        <v>204640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>
        <f t="shared" si="2"/>
        <v>5600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>
        <f t="shared" si="2"/>
        <v>28000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>
        <f t="shared" si="2"/>
        <v>43520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>
        <f t="shared" si="2"/>
        <v>31680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>
        <f t="shared" si="2"/>
        <v>46400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>
        <f t="shared" si="2"/>
        <v>94240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>
        <f t="shared" si="2"/>
        <v>118880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>
        <f t="shared" si="2"/>
        <v>43360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>
        <f t="shared" si="2"/>
        <v>101120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>
        <f t="shared" si="2"/>
        <v>14400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>
        <f t="shared" si="2"/>
        <v>640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>
        <f t="shared" si="2"/>
        <v>800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>
        <f t="shared" si="2"/>
        <v>6560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>
        <f t="shared" si="2"/>
        <v>117920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>
        <f t="shared" si="2"/>
        <v>145600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>
        <f t="shared" si="2"/>
        <v>38560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>
        <f t="shared" si="2"/>
        <v>17920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>
        <f t="shared" si="2"/>
        <v>18080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>
        <f t="shared" si="2"/>
        <v>19360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>
        <f t="shared" si="2"/>
        <v>25600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>
        <f t="shared" si="2"/>
        <v>31200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>
        <f t="shared" si="2"/>
        <v>34400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>
        <f t="shared" si="2"/>
        <v>51360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>
        <f t="shared" si="2"/>
        <v>98240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>
        <f t="shared" si="2"/>
        <v>4800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>
        <f t="shared" si="2"/>
        <v>5440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>
        <f t="shared" si="2"/>
        <v>5600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>
        <f t="shared" si="2"/>
        <v>12320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>
        <f t="shared" si="2"/>
        <v>115680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>
        <f t="shared" si="2"/>
        <v>118720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>
        <f t="shared" si="2"/>
        <v>124480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>
        <f t="shared" si="2"/>
        <v>140480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>
        <f t="shared" si="2"/>
        <v>141280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>
        <f t="shared" si="2"/>
        <v>146080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>
        <f t="shared" si="2"/>
        <v>180000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>
        <f t="shared" si="2"/>
        <v>5280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>
        <f t="shared" si="2"/>
        <v>8320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>
        <f t="shared" ref="D131:D194" si="4">C131*0.16</f>
        <v>15520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>
        <f t="shared" si="4"/>
        <v>20960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>
        <f t="shared" si="4"/>
        <v>27040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>
        <f t="shared" si="4"/>
        <v>30400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>
        <f t="shared" si="4"/>
        <v>30560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>
        <f t="shared" si="4"/>
        <v>31520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>
        <f t="shared" si="4"/>
        <v>32160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>
        <f t="shared" si="4"/>
        <v>35200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>
        <f t="shared" si="4"/>
        <v>40000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>
        <f t="shared" si="4"/>
        <v>41120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>
        <f t="shared" si="4"/>
        <v>44480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>
        <f t="shared" si="4"/>
        <v>44800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>
        <f t="shared" si="4"/>
        <v>48000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>
        <f t="shared" si="4"/>
        <v>48800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>
        <f t="shared" si="4"/>
        <v>53600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>
        <f t="shared" si="4"/>
        <v>57600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>
        <f t="shared" si="4"/>
        <v>68640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>
        <f t="shared" si="4"/>
        <v>112160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>
        <f t="shared" si="4"/>
        <v>14400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>
        <f t="shared" si="4"/>
        <v>11040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>
        <f t="shared" si="4"/>
        <v>14240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>
        <f t="shared" si="4"/>
        <v>22080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>
        <f t="shared" si="4"/>
        <v>31360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>
        <f t="shared" si="4"/>
        <v>52640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>
        <f t="shared" si="4"/>
        <v>47200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>
        <f t="shared" si="4"/>
        <v>3040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>
        <f t="shared" si="4"/>
        <v>4160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>
        <f t="shared" si="4"/>
        <v>4480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>
        <f t="shared" si="4"/>
        <v>8960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>
        <f t="shared" si="4"/>
        <v>34560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>
        <f t="shared" si="4"/>
        <v>40000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>
        <f t="shared" si="4"/>
        <v>61120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>
        <f t="shared" si="4"/>
        <v>83840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>
        <f t="shared" si="4"/>
        <v>121120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>
        <f t="shared" si="4"/>
        <v>167200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>
        <f t="shared" si="4"/>
        <v>250880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>
        <f t="shared" si="4"/>
        <v>18720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>
        <f t="shared" si="4"/>
        <v>25280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>
        <f t="shared" si="4"/>
        <v>41600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>
        <f t="shared" si="4"/>
        <v>30880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>
        <f t="shared" si="4"/>
        <v>43200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>
        <f t="shared" si="4"/>
        <v>50240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>
        <f t="shared" si="4"/>
        <v>143040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>
        <f t="shared" si="4"/>
        <v>166400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>
        <f t="shared" si="4"/>
        <v>1280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>
        <f t="shared" si="4"/>
        <v>1600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>
        <f t="shared" si="4"/>
        <v>3840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>
        <f t="shared" si="4"/>
        <v>1760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>
        <f t="shared" si="4"/>
        <v>1600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>
        <f t="shared" si="4"/>
        <v>4160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>
        <f t="shared" si="4"/>
        <v>3520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>
        <f t="shared" si="4"/>
        <v>10080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>
        <f t="shared" si="4"/>
        <v>10080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>
        <f t="shared" si="4"/>
        <v>4160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>
        <f t="shared" si="4"/>
        <v>4000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>
        <f t="shared" si="4"/>
        <v>4000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>
        <f t="shared" si="4"/>
        <v>7360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>
        <f t="shared" si="4"/>
        <v>5920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>
        <f t="shared" si="4"/>
        <v>5920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>
        <f t="shared" ref="D195:D258" si="6">C195*0.16</f>
        <v>1760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>
        <f t="shared" si="6"/>
        <v>7360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>
        <f t="shared" si="6"/>
        <v>3040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>
        <f t="shared" si="6"/>
        <v>2080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>
        <f t="shared" si="6"/>
        <v>4160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>
        <f t="shared" si="6"/>
        <v>4160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>
        <f t="shared" si="6"/>
        <v>3200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>
        <f t="shared" si="6"/>
        <v>7840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>
        <f t="shared" si="6"/>
        <v>5280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>
        <f t="shared" si="6"/>
        <v>10880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>
        <f t="shared" si="6"/>
        <v>5280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>
        <f t="shared" si="6"/>
        <v>23520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>
        <f t="shared" si="6"/>
        <v>24160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>
        <f t="shared" si="6"/>
        <v>31520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>
        <f t="shared" si="6"/>
        <v>49600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>
        <f t="shared" si="6"/>
        <v>43360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>
        <f t="shared" si="6"/>
        <v>73280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>
        <f t="shared" si="6"/>
        <v>65920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>
        <f t="shared" si="6"/>
        <v>129120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>
        <f t="shared" si="6"/>
        <v>640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>
        <f t="shared" si="6"/>
        <v>12960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>
        <f t="shared" si="6"/>
        <v>20000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>
        <f t="shared" si="6"/>
        <v>15680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>
        <f t="shared" si="6"/>
        <v>22400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>
        <f t="shared" si="6"/>
        <v>800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>
        <f t="shared" si="6"/>
        <v>960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>
        <f t="shared" si="6"/>
        <v>1440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>
        <f t="shared" si="6"/>
        <v>1280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>
        <f t="shared" si="6"/>
        <v>1760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>
        <f t="shared" si="6"/>
        <v>3360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>
        <f t="shared" si="6"/>
        <v>2240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>
        <f t="shared" si="6"/>
        <v>3680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>
        <f t="shared" si="6"/>
        <v>8160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>
        <f t="shared" si="6"/>
        <v>31680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>
        <f t="shared" si="6"/>
        <v>26720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>
        <f t="shared" si="6"/>
        <v>15200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>
        <f t="shared" si="6"/>
        <v>22560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>
        <f t="shared" si="6"/>
        <v>56160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>
        <f t="shared" si="6"/>
        <v>66240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>
        <f t="shared" si="6"/>
        <v>9760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>
        <f t="shared" si="6"/>
        <v>142880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>
        <f t="shared" si="6"/>
        <v>157600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>
        <f t="shared" si="6"/>
        <v>47360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>
        <f t="shared" si="6"/>
        <v>109600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>
        <f t="shared" si="6"/>
        <v>182080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>
        <f t="shared" si="6"/>
        <v>213440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>
        <f t="shared" si="6"/>
        <v>4800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>
        <f t="shared" si="6"/>
        <v>4800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>
        <f t="shared" si="6"/>
        <v>64960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>
        <f t="shared" si="6"/>
        <v>31520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>
        <f t="shared" si="6"/>
        <v>103200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>
        <f t="shared" si="6"/>
        <v>103200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>
        <f t="shared" si="6"/>
        <v>41440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>
        <f t="shared" si="6"/>
        <v>103360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>
        <f t="shared" si="6"/>
        <v>41440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>
        <f t="shared" si="6"/>
        <v>103200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>
        <f t="shared" si="6"/>
        <v>140640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>
        <f t="shared" si="6"/>
        <v>41440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>
        <f t="shared" si="6"/>
        <v>43840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>
        <f t="shared" si="6"/>
        <v>156000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>
        <f t="shared" si="6"/>
        <v>76800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>
        <f t="shared" si="6"/>
        <v>189920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>
        <f t="shared" si="6"/>
        <v>133120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>
        <f t="shared" ref="D259:D322" si="8">C259*0.16</f>
        <v>36320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>
        <f t="shared" si="8"/>
        <v>15680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>
        <f t="shared" si="8"/>
        <v>190400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>
        <f t="shared" si="8"/>
        <v>48000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>
        <f t="shared" si="8"/>
        <v>385120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>
        <f t="shared" si="8"/>
        <v>163360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>
        <f t="shared" si="8"/>
        <v>103360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>
        <f t="shared" si="8"/>
        <v>41440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>
        <f t="shared" si="8"/>
        <v>30880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>
        <f t="shared" si="8"/>
        <v>15360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>
        <f t="shared" si="8"/>
        <v>95040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>
        <f t="shared" si="8"/>
        <v>45120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>
        <f t="shared" si="8"/>
        <v>290240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>
        <f t="shared" si="8"/>
        <v>30880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>
        <f t="shared" si="8"/>
        <v>104640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>
        <f t="shared" si="8"/>
        <v>116640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>
        <f t="shared" si="8"/>
        <v>101120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>
        <f t="shared" si="8"/>
        <v>38400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>
        <f t="shared" si="8"/>
        <v>152800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>
        <f t="shared" si="8"/>
        <v>180160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>
        <f t="shared" si="8"/>
        <v>47520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>
        <f t="shared" si="8"/>
        <v>103360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>
        <f t="shared" si="8"/>
        <v>114240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>
        <f t="shared" si="8"/>
        <v>129120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>
        <f t="shared" si="8"/>
        <v>94560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>
        <f t="shared" si="8"/>
        <v>146880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>
        <f t="shared" si="8"/>
        <v>202400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>
        <f t="shared" si="8"/>
        <v>40960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>
        <f t="shared" si="8"/>
        <v>59360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>
        <f t="shared" si="8"/>
        <v>73120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>
        <f t="shared" si="8"/>
        <v>102720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>
        <f t="shared" si="8"/>
        <v>251360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>
        <f t="shared" si="8"/>
        <v>120960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>
        <f t="shared" si="8"/>
        <v>251360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>
        <f t="shared" si="8"/>
        <v>434560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>
        <f t="shared" si="8"/>
        <v>102400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>
        <f t="shared" si="8"/>
        <v>40800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>
        <f t="shared" si="8"/>
        <v>66080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>
        <f t="shared" si="8"/>
        <v>57760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>
        <f t="shared" si="8"/>
        <v>87040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>
        <f t="shared" si="8"/>
        <v>108480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>
        <f t="shared" si="8"/>
        <v>168640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>
        <f t="shared" si="8"/>
        <v>77120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>
        <f t="shared" si="8"/>
        <v>115520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>
        <f t="shared" si="8"/>
        <v>43040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>
        <f t="shared" si="8"/>
        <v>59360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>
        <f t="shared" si="8"/>
        <v>73920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>
        <f t="shared" si="8"/>
        <v>86560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>
        <f t="shared" si="8"/>
        <v>103680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>
        <f t="shared" si="8"/>
        <v>103040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>
        <f t="shared" si="8"/>
        <v>144320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>
        <f t="shared" si="8"/>
        <v>115520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>
        <f t="shared" si="8"/>
        <v>233120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>
        <f t="shared" si="8"/>
        <v>285760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>
        <f t="shared" si="8"/>
        <v>13600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>
        <f t="shared" si="8"/>
        <v>13440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>
        <f t="shared" si="8"/>
        <v>18400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>
        <f t="shared" si="8"/>
        <v>24320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>
        <f t="shared" si="8"/>
        <v>13120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>
        <f t="shared" si="8"/>
        <v>13440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>
        <f t="shared" si="8"/>
        <v>18400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>
        <f t="shared" si="8"/>
        <v>24480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>
        <f t="shared" ref="D323:D337" si="10">C323*0.16</f>
        <v>12800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>
        <f t="shared" si="10"/>
        <v>16320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>
        <f t="shared" si="10"/>
        <v>31680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>
        <f t="shared" si="10"/>
        <v>37280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>
        <f t="shared" si="10"/>
        <v>44640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>
        <f t="shared" si="10"/>
        <v>47680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>
        <f t="shared" si="10"/>
        <v>76480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>
        <f t="shared" si="10"/>
        <v>100160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>
        <f t="shared" si="10"/>
        <v>121120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>
        <f t="shared" si="10"/>
        <v>180480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>
        <f t="shared" si="10"/>
        <v>244320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>
        <f t="shared" si="10"/>
        <v>661440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>
        <f t="shared" si="10"/>
        <v>1096000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>
        <f t="shared" si="10"/>
        <v>1873920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zoomScale="160" workbookViewId="0">
      <selection activeCell="B22" sqref="B22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14" customWidth="1"/>
    <col min="5" max="5" width="9.19921875" customWidth="1"/>
    <col min="6" max="6" width="7.19921875" customWidth="1"/>
    <col min="7" max="7" width="14.19921875" customWidth="1"/>
    <col min="8" max="8" width="16" customWidth="1"/>
    <col min="9" max="26" width="9.19921875" customWidth="1"/>
  </cols>
  <sheetData>
    <row r="1" spans="1:26" ht="12.75" customHeight="1" x14ac:dyDescent="0.2">
      <c r="A1" s="20" t="s">
        <v>484</v>
      </c>
      <c r="B1" s="20" t="s">
        <v>485</v>
      </c>
      <c r="C1" s="20" t="str">
        <f>IF(Table_1[[#This Row],[Column2]]&gt;=G1,H2,H1)</f>
        <v>giudizio</v>
      </c>
      <c r="D1" s="4"/>
      <c r="E1" s="4"/>
      <c r="F1" s="4"/>
      <c r="G1" s="14" t="s">
        <v>582</v>
      </c>
      <c r="H1" s="15" t="s">
        <v>583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21" t="s">
        <v>486</v>
      </c>
      <c r="B2" s="21">
        <v>40</v>
      </c>
      <c r="C2" s="21" t="str">
        <f>VLOOKUP(Table_1[[#This Row],[Column2]],$G$2:$H$5,2,FALSE)</f>
        <v>SUFFICIENTE</v>
      </c>
      <c r="D2" s="6"/>
      <c r="E2" s="6"/>
      <c r="F2" s="6"/>
      <c r="G2" s="16">
        <v>0</v>
      </c>
      <c r="H2" s="17" t="s">
        <v>571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21" t="s">
        <v>487</v>
      </c>
      <c r="B3" s="21">
        <v>60</v>
      </c>
      <c r="C3" s="21" t="str">
        <f>VLOOKUP(Table_1[[#This Row],[Column2]],$G$2:$H$5,2,FALSE)</f>
        <v>DISCRETO</v>
      </c>
      <c r="E3" s="6"/>
      <c r="F3" s="6"/>
      <c r="G3" s="16">
        <v>40</v>
      </c>
      <c r="H3" s="17" t="s">
        <v>572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21" t="s">
        <v>488</v>
      </c>
      <c r="B4" s="21">
        <v>60</v>
      </c>
      <c r="C4" s="21" t="str">
        <f>VLOOKUP(Table_1[[#This Row],[Column2]],$G$2:$H$5,2,FALSE)</f>
        <v>DISCRETO</v>
      </c>
      <c r="E4" s="6"/>
      <c r="F4" s="6"/>
      <c r="G4" s="16">
        <v>60</v>
      </c>
      <c r="H4" s="17" t="s">
        <v>573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thickBot="1" x14ac:dyDescent="0.25">
      <c r="A5" s="21" t="s">
        <v>489</v>
      </c>
      <c r="B5" s="21">
        <v>40</v>
      </c>
      <c r="C5" s="21" t="str">
        <f>VLOOKUP(Table_1[[#This Row],[Column2]],$G$2:$H$5,2,FALSE)</f>
        <v>SUFFICIENTE</v>
      </c>
      <c r="E5" s="6"/>
      <c r="F5" s="6"/>
      <c r="G5" s="18">
        <v>70</v>
      </c>
      <c r="H5" s="19" t="s">
        <v>574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">
      <c r="A6" s="21" t="s">
        <v>490</v>
      </c>
      <c r="B6" s="21">
        <v>70</v>
      </c>
      <c r="C6" s="21" t="str">
        <f>VLOOKUP(Table_1[[#This Row],[Column2]],$G$2:$H$5,2,FALSE)</f>
        <v>BUONO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">
      <c r="A7" s="21" t="s">
        <v>491</v>
      </c>
      <c r="B7" s="21">
        <v>0</v>
      </c>
      <c r="C7" s="21" t="str">
        <f>VLOOKUP(Table_1[[#This Row],[Column2]],$G$2:$H$5,2,FALSE)</f>
        <v>RESPINTO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">
      <c r="A8" s="21" t="s">
        <v>492</v>
      </c>
      <c r="B8" s="21">
        <v>0</v>
      </c>
      <c r="C8" s="21" t="str">
        <f>VLOOKUP(Table_1[[#This Row],[Column2]],$G$2:$H$5,2,FALSE)</f>
        <v>RESPINTO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zoomScale="143" workbookViewId="0">
      <selection activeCell="E18" sqref="E18"/>
    </sheetView>
  </sheetViews>
  <sheetFormatPr baseColWidth="10" defaultColWidth="14.3984375" defaultRowHeight="15" customHeight="1" x14ac:dyDescent="0.2"/>
  <cols>
    <col min="1" max="1" width="10" customWidth="1"/>
    <col min="2" max="2" width="28.19921875" customWidth="1"/>
    <col min="3" max="3" width="22" bestFit="1" customWidth="1"/>
    <col min="4" max="4" width="22.59765625" bestFit="1" customWidth="1"/>
    <col min="5" max="5" width="26.796875" bestFit="1" customWidth="1"/>
    <col min="6" max="6" width="19" customWidth="1"/>
    <col min="7" max="7" width="20.3984375" customWidth="1"/>
    <col min="8" max="8" width="19" bestFit="1" customWidth="1"/>
    <col min="9" max="9" width="18.3984375" bestFit="1" customWidth="1"/>
    <col min="10" max="24" width="8.796875" customWidth="1"/>
  </cols>
  <sheetData>
    <row r="1" spans="1:24" ht="13.5" customHeight="1" thickBot="1" x14ac:dyDescent="0.25">
      <c r="A1" s="7" t="s">
        <v>493</v>
      </c>
      <c r="B1" s="7" t="s">
        <v>494</v>
      </c>
      <c r="C1" s="7" t="s">
        <v>495</v>
      </c>
      <c r="D1" s="8" t="s">
        <v>496</v>
      </c>
      <c r="E1" s="8" t="s">
        <v>497</v>
      </c>
      <c r="F1" s="9"/>
      <c r="G1" s="23" t="s">
        <v>578</v>
      </c>
      <c r="H1" s="24" t="s">
        <v>579</v>
      </c>
      <c r="I1" s="25" t="s">
        <v>580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3.5" customHeight="1" thickTop="1" x14ac:dyDescent="0.2">
      <c r="A2" s="10">
        <v>36529</v>
      </c>
      <c r="B2" s="11" t="s">
        <v>498</v>
      </c>
      <c r="C2" s="11" t="s">
        <v>499</v>
      </c>
      <c r="D2" s="12">
        <v>50000</v>
      </c>
      <c r="E2" s="12">
        <v>16</v>
      </c>
      <c r="G2" s="26" t="s">
        <v>499</v>
      </c>
      <c r="H2">
        <f>COUNTIF($C$2:$C$80,G2)</f>
        <v>11</v>
      </c>
      <c r="I2" s="27">
        <f>SUMIF($C$2:$C$80,G2,$D$2:$D$80)</f>
        <v>611780</v>
      </c>
    </row>
    <row r="3" spans="1:24" ht="13.5" customHeight="1" x14ac:dyDescent="0.2">
      <c r="A3" s="10">
        <v>36534</v>
      </c>
      <c r="B3" s="11" t="s">
        <v>500</v>
      </c>
      <c r="C3" s="11" t="s">
        <v>499</v>
      </c>
      <c r="D3" s="12">
        <v>29970</v>
      </c>
      <c r="E3" s="12">
        <v>29</v>
      </c>
      <c r="G3" s="28" t="s">
        <v>575</v>
      </c>
      <c r="H3">
        <f>COUNTIF($C$2:$C$80,G3)</f>
        <v>5</v>
      </c>
      <c r="I3" s="27">
        <f>SUMIF($C$2:$C$80,G3,$D$2:$D$80)</f>
        <v>30860</v>
      </c>
    </row>
    <row r="4" spans="1:24" ht="13.5" customHeight="1" x14ac:dyDescent="0.2">
      <c r="A4" s="10">
        <v>36537</v>
      </c>
      <c r="B4" s="11" t="s">
        <v>501</v>
      </c>
      <c r="C4" s="11" t="s">
        <v>502</v>
      </c>
      <c r="D4" s="12">
        <v>27560</v>
      </c>
      <c r="E4" s="12">
        <v>21</v>
      </c>
      <c r="G4" s="28" t="s">
        <v>576</v>
      </c>
      <c r="H4">
        <f t="shared" ref="H4:H5" si="0">COUNTIF($C$2:$C$80,G4)</f>
        <v>4</v>
      </c>
      <c r="I4" s="27">
        <f>SUMIF($C$2:$C$80,G4,$D$2:$D$80)</f>
        <v>54000</v>
      </c>
    </row>
    <row r="5" spans="1:24" ht="13.5" customHeight="1" thickBot="1" x14ac:dyDescent="0.25">
      <c r="A5" s="10">
        <v>36543</v>
      </c>
      <c r="B5" s="11" t="s">
        <v>503</v>
      </c>
      <c r="C5" s="11" t="s">
        <v>504</v>
      </c>
      <c r="D5" s="12">
        <v>43500</v>
      </c>
      <c r="E5" s="12">
        <v>29</v>
      </c>
      <c r="G5" s="29" t="s">
        <v>577</v>
      </c>
      <c r="H5" s="22">
        <f t="shared" si="0"/>
        <v>4</v>
      </c>
      <c r="I5" s="30">
        <f>SUMIF($C$2:$C$80,G5,$D$2:$D$80)</f>
        <v>6765600</v>
      </c>
    </row>
    <row r="6" spans="1:24" ht="13.5" customHeight="1" x14ac:dyDescent="0.2">
      <c r="A6" s="10">
        <v>36545</v>
      </c>
      <c r="B6" s="11" t="s">
        <v>505</v>
      </c>
      <c r="C6" s="11" t="s">
        <v>506</v>
      </c>
      <c r="D6" s="12">
        <v>13500</v>
      </c>
      <c r="E6" s="12">
        <v>15</v>
      </c>
    </row>
    <row r="7" spans="1:24" ht="13.5" customHeight="1" x14ac:dyDescent="0.2">
      <c r="A7" s="10">
        <v>36547</v>
      </c>
      <c r="B7" s="11" t="s">
        <v>507</v>
      </c>
      <c r="C7" s="11" t="s">
        <v>508</v>
      </c>
      <c r="D7" s="12">
        <v>50800</v>
      </c>
      <c r="E7" s="12">
        <v>22</v>
      </c>
    </row>
    <row r="8" spans="1:24" ht="13.5" customHeight="1" thickBot="1" x14ac:dyDescent="0.25">
      <c r="A8" s="10">
        <v>36548</v>
      </c>
      <c r="B8" s="11" t="s">
        <v>509</v>
      </c>
      <c r="C8" s="11" t="s">
        <v>510</v>
      </c>
      <c r="D8" s="12">
        <v>98450</v>
      </c>
      <c r="E8" s="12">
        <v>21</v>
      </c>
    </row>
    <row r="9" spans="1:24" ht="13.5" customHeight="1" x14ac:dyDescent="0.2">
      <c r="A9" s="10">
        <v>36551</v>
      </c>
      <c r="B9" s="11" t="s">
        <v>501</v>
      </c>
      <c r="C9" s="11" t="s">
        <v>502</v>
      </c>
      <c r="D9" s="12">
        <v>45890</v>
      </c>
      <c r="E9" s="12">
        <v>18</v>
      </c>
      <c r="G9" s="23" t="s">
        <v>581</v>
      </c>
      <c r="H9" s="24" t="s">
        <v>579</v>
      </c>
      <c r="I9" s="25" t="s">
        <v>580</v>
      </c>
    </row>
    <row r="10" spans="1:24" ht="13.5" customHeight="1" x14ac:dyDescent="0.2">
      <c r="A10" s="10">
        <v>36552</v>
      </c>
      <c r="B10" s="11" t="s">
        <v>511</v>
      </c>
      <c r="C10" s="11" t="s">
        <v>512</v>
      </c>
      <c r="D10" s="12">
        <v>7950</v>
      </c>
      <c r="E10" s="12">
        <v>23</v>
      </c>
      <c r="G10" s="26" t="s">
        <v>525</v>
      </c>
      <c r="H10">
        <f>COUNTIF($B$2:$B$80,G10)</f>
        <v>4</v>
      </c>
      <c r="I10" s="27">
        <f>SUMIF($B$2:$B$80,G10,$D$2:$D$80)</f>
        <v>283000</v>
      </c>
    </row>
    <row r="11" spans="1:24" ht="13.5" customHeight="1" x14ac:dyDescent="0.2">
      <c r="A11" s="10">
        <v>36553</v>
      </c>
      <c r="B11" s="11" t="s">
        <v>513</v>
      </c>
      <c r="C11" s="11" t="s">
        <v>510</v>
      </c>
      <c r="D11" s="12">
        <v>87450</v>
      </c>
      <c r="E11" s="12">
        <v>24</v>
      </c>
      <c r="G11" s="26" t="s">
        <v>500</v>
      </c>
      <c r="H11">
        <f>COUNTIF($B$2:$B$80,G11)</f>
        <v>1</v>
      </c>
      <c r="I11" s="27">
        <f>SUMIF($B$2:$B$80,G11,$D$2:$D$80)</f>
        <v>29970</v>
      </c>
    </row>
    <row r="12" spans="1:24" ht="13.5" customHeight="1" x14ac:dyDescent="0.2">
      <c r="A12" s="10">
        <v>36554</v>
      </c>
      <c r="B12" s="11" t="s">
        <v>514</v>
      </c>
      <c r="C12" s="11" t="s">
        <v>515</v>
      </c>
      <c r="D12" s="12">
        <v>295000</v>
      </c>
      <c r="E12" s="12">
        <v>27</v>
      </c>
      <c r="G12" s="26" t="s">
        <v>501</v>
      </c>
      <c r="H12">
        <f>COUNTIF($B$2:$B$80,G12)</f>
        <v>2</v>
      </c>
      <c r="I12" s="27">
        <f t="shared" ref="I12:I19" si="1">SUMIF($B$2:$B$80,G12,$D$2:$D$80)</f>
        <v>73450</v>
      </c>
    </row>
    <row r="13" spans="1:24" ht="13.5" customHeight="1" x14ac:dyDescent="0.2">
      <c r="A13" s="10">
        <v>36555</v>
      </c>
      <c r="B13" s="11" t="s">
        <v>503</v>
      </c>
      <c r="C13" s="11" t="s">
        <v>516</v>
      </c>
      <c r="D13" s="12">
        <v>348980</v>
      </c>
      <c r="E13" s="12">
        <v>15</v>
      </c>
      <c r="G13" s="26" t="s">
        <v>503</v>
      </c>
      <c r="H13">
        <f t="shared" ref="H13:H19" si="2">COUNTIF($B$2:$B$80,G13)</f>
        <v>3</v>
      </c>
      <c r="I13" s="27">
        <f t="shared" si="1"/>
        <v>408460</v>
      </c>
    </row>
    <row r="14" spans="1:24" ht="13.5" customHeight="1" x14ac:dyDescent="0.2">
      <c r="A14" s="10">
        <v>36558</v>
      </c>
      <c r="B14" s="11" t="s">
        <v>517</v>
      </c>
      <c r="C14" s="11" t="s">
        <v>518</v>
      </c>
      <c r="D14" s="12">
        <v>127490</v>
      </c>
      <c r="E14" s="12">
        <v>17</v>
      </c>
      <c r="G14" s="26" t="s">
        <v>505</v>
      </c>
      <c r="H14">
        <f t="shared" si="2"/>
        <v>4</v>
      </c>
      <c r="I14" s="27">
        <f t="shared" si="1"/>
        <v>54000</v>
      </c>
    </row>
    <row r="15" spans="1:24" ht="13.5" customHeight="1" x14ac:dyDescent="0.2">
      <c r="A15" s="10">
        <v>36558</v>
      </c>
      <c r="B15" s="11" t="s">
        <v>519</v>
      </c>
      <c r="C15" s="11" t="s">
        <v>502</v>
      </c>
      <c r="D15" s="12">
        <v>49400</v>
      </c>
      <c r="E15" s="12">
        <v>13</v>
      </c>
      <c r="G15" s="26" t="s">
        <v>507</v>
      </c>
      <c r="H15">
        <f t="shared" si="2"/>
        <v>1</v>
      </c>
      <c r="I15" s="27">
        <f t="shared" si="1"/>
        <v>50800</v>
      </c>
    </row>
    <row r="16" spans="1:24" ht="13.5" customHeight="1" x14ac:dyDescent="0.2">
      <c r="A16" s="10">
        <v>36573</v>
      </c>
      <c r="B16" s="11" t="s">
        <v>520</v>
      </c>
      <c r="C16" s="11" t="s">
        <v>521</v>
      </c>
      <c r="D16" s="12">
        <v>201000</v>
      </c>
      <c r="E16" s="12">
        <v>14</v>
      </c>
      <c r="G16" s="26" t="s">
        <v>509</v>
      </c>
      <c r="H16">
        <f t="shared" si="2"/>
        <v>1</v>
      </c>
      <c r="I16" s="27">
        <f t="shared" si="1"/>
        <v>98450</v>
      </c>
    </row>
    <row r="17" spans="1:9" ht="13.5" customHeight="1" x14ac:dyDescent="0.2">
      <c r="A17" s="10">
        <v>36573</v>
      </c>
      <c r="B17" s="11" t="s">
        <v>522</v>
      </c>
      <c r="C17" s="11" t="s">
        <v>521</v>
      </c>
      <c r="D17" s="12">
        <v>1368000</v>
      </c>
      <c r="E17" s="12">
        <v>28</v>
      </c>
      <c r="G17" s="26" t="s">
        <v>511</v>
      </c>
      <c r="H17">
        <f t="shared" si="2"/>
        <v>1</v>
      </c>
      <c r="I17" s="27">
        <f t="shared" si="1"/>
        <v>7950</v>
      </c>
    </row>
    <row r="18" spans="1:9" ht="13.5" customHeight="1" x14ac:dyDescent="0.2">
      <c r="A18" s="10">
        <v>36576</v>
      </c>
      <c r="B18" s="11" t="s">
        <v>523</v>
      </c>
      <c r="C18" s="11" t="s">
        <v>524</v>
      </c>
      <c r="D18" s="12">
        <v>36850</v>
      </c>
      <c r="E18" s="12">
        <v>16</v>
      </c>
      <c r="G18" s="26" t="s">
        <v>528</v>
      </c>
      <c r="H18">
        <f t="shared" si="2"/>
        <v>2</v>
      </c>
      <c r="I18" s="27">
        <f t="shared" si="1"/>
        <v>107700</v>
      </c>
    </row>
    <row r="19" spans="1:9" ht="13.5" customHeight="1" thickBot="1" x14ac:dyDescent="0.25">
      <c r="A19" s="10">
        <v>36580</v>
      </c>
      <c r="B19" s="11" t="s">
        <v>525</v>
      </c>
      <c r="C19" s="11" t="s">
        <v>499</v>
      </c>
      <c r="D19" s="12">
        <v>151500</v>
      </c>
      <c r="E19" s="12">
        <v>13</v>
      </c>
      <c r="G19" s="31" t="s">
        <v>529</v>
      </c>
      <c r="H19" s="22">
        <f t="shared" si="2"/>
        <v>1</v>
      </c>
      <c r="I19" s="30">
        <f t="shared" si="1"/>
        <v>27270</v>
      </c>
    </row>
    <row r="20" spans="1:9" ht="13.5" customHeight="1" x14ac:dyDescent="0.2">
      <c r="A20" s="10">
        <v>36589</v>
      </c>
      <c r="B20" s="11" t="s">
        <v>505</v>
      </c>
      <c r="C20" s="11" t="s">
        <v>506</v>
      </c>
      <c r="D20" s="12">
        <v>13500</v>
      </c>
      <c r="E20" s="12">
        <v>20</v>
      </c>
    </row>
    <row r="21" spans="1:9" ht="13.5" customHeight="1" x14ac:dyDescent="0.2">
      <c r="A21" s="10">
        <v>36593</v>
      </c>
      <c r="B21" s="11" t="s">
        <v>526</v>
      </c>
      <c r="C21" s="11" t="s">
        <v>527</v>
      </c>
      <c r="D21" s="12">
        <v>17000</v>
      </c>
      <c r="E21" s="12">
        <v>18</v>
      </c>
    </row>
    <row r="22" spans="1:9" ht="13.5" customHeight="1" x14ac:dyDescent="0.2">
      <c r="A22" s="10">
        <v>36594</v>
      </c>
      <c r="B22" s="11" t="s">
        <v>528</v>
      </c>
      <c r="C22" s="11" t="s">
        <v>502</v>
      </c>
      <c r="D22" s="12">
        <v>35900</v>
      </c>
      <c r="E22" s="12">
        <v>16</v>
      </c>
    </row>
    <row r="23" spans="1:9" ht="13.5" customHeight="1" x14ac:dyDescent="0.2">
      <c r="A23" s="10">
        <v>36594</v>
      </c>
      <c r="B23" s="11" t="s">
        <v>529</v>
      </c>
      <c r="C23" s="11" t="s">
        <v>530</v>
      </c>
      <c r="D23" s="12">
        <v>27270</v>
      </c>
      <c r="E23" s="12">
        <v>14</v>
      </c>
    </row>
    <row r="24" spans="1:9" ht="13.5" customHeight="1" x14ac:dyDescent="0.2">
      <c r="A24" s="10">
        <v>36594</v>
      </c>
      <c r="B24" s="11" t="s">
        <v>531</v>
      </c>
      <c r="C24" s="11" t="s">
        <v>530</v>
      </c>
      <c r="D24" s="12">
        <v>13400</v>
      </c>
      <c r="E24" s="12">
        <v>14</v>
      </c>
    </row>
    <row r="25" spans="1:9" ht="13.5" customHeight="1" x14ac:dyDescent="0.2">
      <c r="A25" s="10">
        <v>36595</v>
      </c>
      <c r="B25" s="11" t="s">
        <v>525</v>
      </c>
      <c r="C25" s="11" t="s">
        <v>499</v>
      </c>
      <c r="D25" s="12">
        <v>19000</v>
      </c>
      <c r="E25" s="12">
        <v>17</v>
      </c>
    </row>
    <row r="26" spans="1:9" ht="13.5" customHeight="1" x14ac:dyDescent="0.2">
      <c r="A26" s="10">
        <v>36595</v>
      </c>
      <c r="B26" s="11" t="s">
        <v>528</v>
      </c>
      <c r="C26" s="11" t="s">
        <v>502</v>
      </c>
      <c r="D26" s="12">
        <v>71800</v>
      </c>
      <c r="E26" s="12">
        <v>18</v>
      </c>
    </row>
    <row r="27" spans="1:9" ht="13.5" customHeight="1" x14ac:dyDescent="0.2">
      <c r="A27" s="10">
        <v>36595</v>
      </c>
      <c r="B27" s="11" t="s">
        <v>531</v>
      </c>
      <c r="C27" s="11" t="s">
        <v>530</v>
      </c>
      <c r="D27" s="12">
        <v>12280</v>
      </c>
      <c r="E27" s="12">
        <v>14</v>
      </c>
    </row>
    <row r="28" spans="1:9" ht="13.5" customHeight="1" x14ac:dyDescent="0.2">
      <c r="A28" s="10">
        <v>36595</v>
      </c>
      <c r="B28" s="11" t="s">
        <v>531</v>
      </c>
      <c r="C28" s="11" t="s">
        <v>530</v>
      </c>
      <c r="D28" s="12">
        <v>14670</v>
      </c>
      <c r="E28" s="12">
        <v>17</v>
      </c>
    </row>
    <row r="29" spans="1:9" ht="13.5" customHeight="1" x14ac:dyDescent="0.2">
      <c r="A29" s="10">
        <v>36596</v>
      </c>
      <c r="B29" s="11" t="s">
        <v>532</v>
      </c>
      <c r="C29" s="11" t="s">
        <v>499</v>
      </c>
      <c r="D29" s="12">
        <v>163500</v>
      </c>
      <c r="E29" s="12">
        <v>18</v>
      </c>
    </row>
    <row r="30" spans="1:9" ht="13.5" customHeight="1" x14ac:dyDescent="0.2">
      <c r="A30" s="10">
        <v>36596</v>
      </c>
      <c r="B30" s="11" t="s">
        <v>533</v>
      </c>
      <c r="C30" s="11" t="s">
        <v>516</v>
      </c>
      <c r="D30" s="12">
        <v>183900</v>
      </c>
      <c r="E30" s="12">
        <v>26</v>
      </c>
    </row>
    <row r="31" spans="1:9" ht="13.5" customHeight="1" x14ac:dyDescent="0.2">
      <c r="A31" s="10">
        <v>36596</v>
      </c>
      <c r="B31" s="11" t="s">
        <v>534</v>
      </c>
      <c r="C31" s="11" t="s">
        <v>535</v>
      </c>
      <c r="D31" s="12">
        <v>43500</v>
      </c>
      <c r="E31" s="12">
        <v>16</v>
      </c>
    </row>
    <row r="32" spans="1:9" ht="13.5" customHeight="1" x14ac:dyDescent="0.2">
      <c r="A32" s="10">
        <v>36596</v>
      </c>
      <c r="B32" s="11" t="s">
        <v>536</v>
      </c>
      <c r="C32" s="11" t="s">
        <v>530</v>
      </c>
      <c r="D32" s="12">
        <v>10730</v>
      </c>
      <c r="E32" s="12">
        <v>17</v>
      </c>
    </row>
    <row r="33" spans="1:5" ht="13.5" customHeight="1" x14ac:dyDescent="0.2">
      <c r="A33" s="10">
        <v>36596</v>
      </c>
      <c r="B33" s="11" t="s">
        <v>537</v>
      </c>
      <c r="C33" s="11" t="s">
        <v>530</v>
      </c>
      <c r="D33" s="12">
        <v>11210</v>
      </c>
      <c r="E33" s="12">
        <v>25</v>
      </c>
    </row>
    <row r="34" spans="1:5" ht="13.5" customHeight="1" x14ac:dyDescent="0.2">
      <c r="A34" s="10">
        <v>36596</v>
      </c>
      <c r="B34" s="11" t="s">
        <v>538</v>
      </c>
      <c r="C34" s="11" t="s">
        <v>527</v>
      </c>
      <c r="D34" s="12">
        <v>127950</v>
      </c>
      <c r="E34" s="12">
        <v>20</v>
      </c>
    </row>
    <row r="35" spans="1:5" ht="13.5" customHeight="1" x14ac:dyDescent="0.2">
      <c r="A35" s="10">
        <v>36597</v>
      </c>
      <c r="B35" s="11" t="s">
        <v>539</v>
      </c>
      <c r="C35" s="11" t="s">
        <v>540</v>
      </c>
      <c r="D35" s="12">
        <v>20000</v>
      </c>
      <c r="E35" s="12">
        <v>23</v>
      </c>
    </row>
    <row r="36" spans="1:5" ht="13.5" customHeight="1" x14ac:dyDescent="0.2">
      <c r="A36" s="10">
        <v>36597</v>
      </c>
      <c r="B36" s="11" t="s">
        <v>541</v>
      </c>
      <c r="C36" s="11" t="s">
        <v>530</v>
      </c>
      <c r="D36" s="12">
        <v>7850</v>
      </c>
      <c r="E36" s="12">
        <v>25</v>
      </c>
    </row>
    <row r="37" spans="1:5" ht="13.5" customHeight="1" x14ac:dyDescent="0.2">
      <c r="A37" s="10">
        <v>36598</v>
      </c>
      <c r="B37" s="11" t="s">
        <v>517</v>
      </c>
      <c r="C37" s="11" t="s">
        <v>518</v>
      </c>
      <c r="D37" s="12">
        <v>127490</v>
      </c>
      <c r="E37" s="12">
        <v>21</v>
      </c>
    </row>
    <row r="38" spans="1:5" ht="13.5" customHeight="1" x14ac:dyDescent="0.2">
      <c r="A38" s="10">
        <v>36598</v>
      </c>
      <c r="B38" s="11" t="s">
        <v>542</v>
      </c>
      <c r="C38" s="11" t="s">
        <v>524</v>
      </c>
      <c r="D38" s="12">
        <v>3950</v>
      </c>
      <c r="E38" s="12">
        <v>17</v>
      </c>
    </row>
    <row r="39" spans="1:5" ht="13.5" customHeight="1" x14ac:dyDescent="0.2">
      <c r="A39" s="10">
        <v>36598</v>
      </c>
      <c r="B39" s="11" t="s">
        <v>498</v>
      </c>
      <c r="C39" s="11" t="s">
        <v>543</v>
      </c>
      <c r="D39" s="12">
        <v>50000</v>
      </c>
      <c r="E39" s="12">
        <v>15</v>
      </c>
    </row>
    <row r="40" spans="1:5" ht="13.5" customHeight="1" x14ac:dyDescent="0.2">
      <c r="A40" s="10">
        <v>36600</v>
      </c>
      <c r="B40" s="11" t="s">
        <v>544</v>
      </c>
      <c r="C40" s="11" t="s">
        <v>545</v>
      </c>
      <c r="D40" s="12">
        <v>16650</v>
      </c>
      <c r="E40" s="12">
        <v>24</v>
      </c>
    </row>
    <row r="41" spans="1:5" ht="13.5" customHeight="1" x14ac:dyDescent="0.2">
      <c r="A41" s="10">
        <v>36603</v>
      </c>
      <c r="B41" s="11" t="s">
        <v>519</v>
      </c>
      <c r="C41" s="11" t="s">
        <v>502</v>
      </c>
      <c r="D41" s="12">
        <v>87300</v>
      </c>
      <c r="E41" s="12">
        <v>18</v>
      </c>
    </row>
    <row r="42" spans="1:5" ht="13.5" customHeight="1" x14ac:dyDescent="0.2">
      <c r="A42" s="10">
        <v>36604</v>
      </c>
      <c r="B42" s="11" t="s">
        <v>546</v>
      </c>
      <c r="C42" s="11" t="s">
        <v>547</v>
      </c>
      <c r="D42" s="12">
        <v>2425000</v>
      </c>
      <c r="E42" s="12">
        <v>11</v>
      </c>
    </row>
    <row r="43" spans="1:5" ht="13.5" customHeight="1" x14ac:dyDescent="0.2">
      <c r="A43" s="10">
        <v>36608</v>
      </c>
      <c r="B43" s="11" t="s">
        <v>548</v>
      </c>
      <c r="C43" s="11" t="s">
        <v>499</v>
      </c>
      <c r="D43" s="12">
        <v>18230</v>
      </c>
      <c r="E43" s="12">
        <v>21</v>
      </c>
    </row>
    <row r="44" spans="1:5" ht="13.5" customHeight="1" x14ac:dyDescent="0.2">
      <c r="A44" s="10">
        <v>36609</v>
      </c>
      <c r="B44" s="11" t="s">
        <v>538</v>
      </c>
      <c r="C44" s="11" t="s">
        <v>527</v>
      </c>
      <c r="D44" s="12">
        <v>78530</v>
      </c>
      <c r="E44" s="12">
        <v>25</v>
      </c>
    </row>
    <row r="45" spans="1:5" ht="13.5" customHeight="1" x14ac:dyDescent="0.2">
      <c r="A45" s="10">
        <v>36609</v>
      </c>
      <c r="B45" s="11" t="s">
        <v>549</v>
      </c>
      <c r="C45" s="11" t="s">
        <v>527</v>
      </c>
      <c r="D45" s="12">
        <v>21000</v>
      </c>
      <c r="E45" s="12">
        <v>18</v>
      </c>
    </row>
    <row r="46" spans="1:5" ht="13.5" customHeight="1" x14ac:dyDescent="0.2">
      <c r="A46" s="10">
        <v>36612</v>
      </c>
      <c r="B46" s="11" t="s">
        <v>550</v>
      </c>
      <c r="C46" s="11" t="s">
        <v>551</v>
      </c>
      <c r="D46" s="12">
        <v>34900</v>
      </c>
      <c r="E46" s="12">
        <v>16</v>
      </c>
    </row>
    <row r="47" spans="1:5" ht="13.5" customHeight="1" x14ac:dyDescent="0.2">
      <c r="A47" s="10">
        <v>36614</v>
      </c>
      <c r="B47" s="11" t="s">
        <v>542</v>
      </c>
      <c r="C47" s="11" t="s">
        <v>524</v>
      </c>
      <c r="D47" s="12">
        <v>8000</v>
      </c>
      <c r="E47" s="12">
        <v>22</v>
      </c>
    </row>
    <row r="48" spans="1:5" ht="13.5" customHeight="1" x14ac:dyDescent="0.2">
      <c r="A48" s="10">
        <v>36614</v>
      </c>
      <c r="B48" s="11" t="s">
        <v>552</v>
      </c>
      <c r="C48" s="11" t="s">
        <v>502</v>
      </c>
      <c r="D48" s="12">
        <v>24660</v>
      </c>
      <c r="E48" s="12">
        <v>27</v>
      </c>
    </row>
    <row r="49" spans="1:5" ht="13.5" customHeight="1" x14ac:dyDescent="0.2">
      <c r="A49" s="10">
        <v>36616</v>
      </c>
      <c r="B49" s="11" t="s">
        <v>553</v>
      </c>
      <c r="C49" s="11" t="s">
        <v>551</v>
      </c>
      <c r="D49" s="12">
        <v>22450</v>
      </c>
      <c r="E49" s="12">
        <v>18</v>
      </c>
    </row>
    <row r="50" spans="1:5" ht="13.5" customHeight="1" x14ac:dyDescent="0.2">
      <c r="A50" s="10">
        <v>36622</v>
      </c>
      <c r="B50" s="11" t="s">
        <v>553</v>
      </c>
      <c r="C50" s="11" t="s">
        <v>551</v>
      </c>
      <c r="D50" s="12">
        <v>44950</v>
      </c>
      <c r="E50" s="12">
        <v>20</v>
      </c>
    </row>
    <row r="51" spans="1:5" ht="13.5" customHeight="1" x14ac:dyDescent="0.2">
      <c r="A51" s="10">
        <v>36624</v>
      </c>
      <c r="B51" s="11" t="s">
        <v>554</v>
      </c>
      <c r="C51" s="11" t="s">
        <v>547</v>
      </c>
      <c r="D51" s="12">
        <v>55600</v>
      </c>
      <c r="E51" s="12">
        <v>11</v>
      </c>
    </row>
    <row r="52" spans="1:5" ht="13.5" customHeight="1" x14ac:dyDescent="0.2">
      <c r="A52" s="10">
        <v>36629</v>
      </c>
      <c r="B52" s="11" t="s">
        <v>555</v>
      </c>
      <c r="C52" s="11" t="s">
        <v>556</v>
      </c>
      <c r="D52" s="12">
        <v>84500</v>
      </c>
      <c r="E52" s="12">
        <v>21</v>
      </c>
    </row>
    <row r="53" spans="1:5" ht="13.5" customHeight="1" x14ac:dyDescent="0.2">
      <c r="A53" s="10">
        <v>36632</v>
      </c>
      <c r="B53" s="11" t="s">
        <v>532</v>
      </c>
      <c r="C53" s="11" t="s">
        <v>499</v>
      </c>
      <c r="D53" s="12">
        <v>51800</v>
      </c>
      <c r="E53" s="12">
        <v>21</v>
      </c>
    </row>
    <row r="54" spans="1:5" ht="13.5" customHeight="1" x14ac:dyDescent="0.2">
      <c r="A54" s="10">
        <v>36632</v>
      </c>
      <c r="B54" s="11" t="s">
        <v>525</v>
      </c>
      <c r="C54" s="11" t="s">
        <v>499</v>
      </c>
      <c r="D54" s="12">
        <v>31000</v>
      </c>
      <c r="E54" s="12">
        <v>16</v>
      </c>
    </row>
    <row r="55" spans="1:5" ht="13.5" customHeight="1" x14ac:dyDescent="0.2">
      <c r="A55" s="10">
        <v>36637</v>
      </c>
      <c r="B55" s="11" t="s">
        <v>525</v>
      </c>
      <c r="C55" s="11" t="s">
        <v>499</v>
      </c>
      <c r="D55" s="12">
        <v>81500</v>
      </c>
      <c r="E55" s="12">
        <v>25</v>
      </c>
    </row>
    <row r="56" spans="1:5" ht="13.5" customHeight="1" x14ac:dyDescent="0.2">
      <c r="A56" s="10">
        <v>36637</v>
      </c>
      <c r="B56" s="11" t="s">
        <v>533</v>
      </c>
      <c r="C56" s="11" t="s">
        <v>516</v>
      </c>
      <c r="D56" s="12">
        <v>183900</v>
      </c>
      <c r="E56" s="12">
        <v>18</v>
      </c>
    </row>
    <row r="57" spans="1:5" ht="13.5" customHeight="1" x14ac:dyDescent="0.2">
      <c r="A57" s="10">
        <v>36637</v>
      </c>
      <c r="B57" s="11" t="s">
        <v>505</v>
      </c>
      <c r="C57" s="11" t="s">
        <v>506</v>
      </c>
      <c r="D57" s="12">
        <v>13500</v>
      </c>
      <c r="E57" s="12">
        <v>18</v>
      </c>
    </row>
    <row r="58" spans="1:5" ht="13.5" customHeight="1" x14ac:dyDescent="0.2">
      <c r="A58" s="10">
        <v>36638</v>
      </c>
      <c r="B58" s="11" t="s">
        <v>557</v>
      </c>
      <c r="C58" s="11" t="s">
        <v>558</v>
      </c>
      <c r="D58" s="12">
        <v>2010</v>
      </c>
      <c r="E58" s="12">
        <v>21</v>
      </c>
    </row>
    <row r="59" spans="1:5" ht="13.5" customHeight="1" x14ac:dyDescent="0.2">
      <c r="A59" s="10">
        <v>36640</v>
      </c>
      <c r="B59" s="11" t="s">
        <v>559</v>
      </c>
      <c r="C59" s="11" t="s">
        <v>551</v>
      </c>
      <c r="D59" s="12">
        <v>36300</v>
      </c>
      <c r="E59" s="12">
        <v>23</v>
      </c>
    </row>
    <row r="60" spans="1:5" ht="13.5" customHeight="1" x14ac:dyDescent="0.2">
      <c r="A60" s="10">
        <v>36642</v>
      </c>
      <c r="B60" s="11" t="s">
        <v>548</v>
      </c>
      <c r="C60" s="11" t="s">
        <v>499</v>
      </c>
      <c r="D60" s="12">
        <v>7640</v>
      </c>
      <c r="E60" s="12">
        <v>20</v>
      </c>
    </row>
    <row r="61" spans="1:5" ht="13.5" customHeight="1" x14ac:dyDescent="0.2">
      <c r="A61" s="10">
        <v>36644</v>
      </c>
      <c r="B61" s="11" t="s">
        <v>526</v>
      </c>
      <c r="C61" s="11" t="s">
        <v>527</v>
      </c>
      <c r="D61" s="12">
        <v>18000</v>
      </c>
      <c r="E61" s="12">
        <v>21</v>
      </c>
    </row>
    <row r="62" spans="1:5" ht="13.5" customHeight="1" x14ac:dyDescent="0.2">
      <c r="A62" s="10">
        <v>36645</v>
      </c>
      <c r="B62" s="11" t="s">
        <v>557</v>
      </c>
      <c r="C62" s="11" t="s">
        <v>558</v>
      </c>
      <c r="D62" s="12">
        <v>8730</v>
      </c>
      <c r="E62" s="12">
        <v>18</v>
      </c>
    </row>
    <row r="63" spans="1:5" ht="13.5" customHeight="1" x14ac:dyDescent="0.2">
      <c r="A63" s="10">
        <v>36645</v>
      </c>
      <c r="B63" s="11" t="s">
        <v>526</v>
      </c>
      <c r="C63" s="11" t="s">
        <v>527</v>
      </c>
      <c r="D63" s="12">
        <v>19000</v>
      </c>
      <c r="E63" s="12">
        <v>12</v>
      </c>
    </row>
    <row r="64" spans="1:5" ht="13.5" customHeight="1" x14ac:dyDescent="0.2">
      <c r="A64" s="10">
        <v>36649</v>
      </c>
      <c r="B64" s="11" t="s">
        <v>546</v>
      </c>
      <c r="C64" s="11" t="s">
        <v>547</v>
      </c>
      <c r="D64" s="12">
        <v>2425000</v>
      </c>
      <c r="E64" s="12">
        <v>21</v>
      </c>
    </row>
    <row r="65" spans="1:5" ht="13.5" customHeight="1" x14ac:dyDescent="0.2">
      <c r="A65" s="10">
        <v>36651</v>
      </c>
      <c r="B65" s="11" t="s">
        <v>546</v>
      </c>
      <c r="C65" s="11" t="s">
        <v>547</v>
      </c>
      <c r="D65" s="12">
        <v>1860000</v>
      </c>
      <c r="E65" s="12">
        <v>19</v>
      </c>
    </row>
    <row r="66" spans="1:5" ht="13.5" customHeight="1" x14ac:dyDescent="0.2">
      <c r="A66" s="10">
        <v>36652</v>
      </c>
      <c r="B66" s="11" t="s">
        <v>560</v>
      </c>
      <c r="C66" s="11" t="s">
        <v>558</v>
      </c>
      <c r="D66" s="12">
        <v>6570</v>
      </c>
      <c r="E66" s="12">
        <v>13</v>
      </c>
    </row>
    <row r="67" spans="1:5" ht="13.5" customHeight="1" x14ac:dyDescent="0.2">
      <c r="A67" s="10">
        <v>36653</v>
      </c>
      <c r="B67" s="11" t="s">
        <v>561</v>
      </c>
      <c r="C67" s="11" t="s">
        <v>562</v>
      </c>
      <c r="D67" s="12">
        <v>14000</v>
      </c>
      <c r="E67" s="12">
        <v>16</v>
      </c>
    </row>
    <row r="68" spans="1:5" ht="13.5" customHeight="1" x14ac:dyDescent="0.2">
      <c r="A68" s="10">
        <v>36665</v>
      </c>
      <c r="B68" s="11" t="s">
        <v>563</v>
      </c>
      <c r="C68" s="11" t="s">
        <v>504</v>
      </c>
      <c r="D68" s="12">
        <v>29980</v>
      </c>
      <c r="E68" s="12">
        <v>19</v>
      </c>
    </row>
    <row r="69" spans="1:5" ht="13.5" customHeight="1" x14ac:dyDescent="0.2">
      <c r="A69" s="10">
        <v>36666</v>
      </c>
      <c r="B69" s="11" t="s">
        <v>564</v>
      </c>
      <c r="C69" s="11" t="s">
        <v>502</v>
      </c>
      <c r="D69" s="12">
        <v>17950</v>
      </c>
      <c r="E69" s="12">
        <v>17</v>
      </c>
    </row>
    <row r="70" spans="1:5" ht="13.5" customHeight="1" x14ac:dyDescent="0.2">
      <c r="A70" s="10">
        <v>36666</v>
      </c>
      <c r="B70" s="11" t="s">
        <v>552</v>
      </c>
      <c r="C70" s="11" t="s">
        <v>502</v>
      </c>
      <c r="D70" s="12">
        <v>32320</v>
      </c>
      <c r="E70" s="12">
        <v>20</v>
      </c>
    </row>
    <row r="71" spans="1:5" ht="13.5" customHeight="1" x14ac:dyDescent="0.2">
      <c r="A71" s="10">
        <v>36667</v>
      </c>
      <c r="B71" s="11" t="s">
        <v>565</v>
      </c>
      <c r="C71" s="11" t="s">
        <v>543</v>
      </c>
      <c r="D71" s="12">
        <v>27350</v>
      </c>
      <c r="E71" s="12">
        <v>19</v>
      </c>
    </row>
    <row r="72" spans="1:5" ht="13.5" customHeight="1" x14ac:dyDescent="0.2">
      <c r="A72" s="10">
        <v>36672</v>
      </c>
      <c r="B72" s="11" t="s">
        <v>561</v>
      </c>
      <c r="C72" s="11" t="s">
        <v>562</v>
      </c>
      <c r="D72" s="12">
        <v>15000</v>
      </c>
      <c r="E72" s="12">
        <v>20</v>
      </c>
    </row>
    <row r="73" spans="1:5" ht="13.5" customHeight="1" x14ac:dyDescent="0.2">
      <c r="A73" s="10">
        <v>36681</v>
      </c>
      <c r="B73" s="11" t="s">
        <v>505</v>
      </c>
      <c r="C73" s="11" t="s">
        <v>506</v>
      </c>
      <c r="D73" s="12">
        <v>13500</v>
      </c>
      <c r="E73" s="12">
        <v>21</v>
      </c>
    </row>
    <row r="74" spans="1:5" ht="13.5" customHeight="1" x14ac:dyDescent="0.2">
      <c r="A74" s="10">
        <v>36682</v>
      </c>
      <c r="B74" s="11" t="s">
        <v>560</v>
      </c>
      <c r="C74" s="11" t="s">
        <v>558</v>
      </c>
      <c r="D74" s="12">
        <v>8600</v>
      </c>
      <c r="E74" s="12">
        <v>22</v>
      </c>
    </row>
    <row r="75" spans="1:5" ht="13.5" customHeight="1" x14ac:dyDescent="0.2">
      <c r="A75" s="10">
        <v>36685</v>
      </c>
      <c r="B75" s="11" t="s">
        <v>503</v>
      </c>
      <c r="C75" s="11" t="s">
        <v>504</v>
      </c>
      <c r="D75" s="12">
        <v>15980</v>
      </c>
      <c r="E75" s="12">
        <v>14</v>
      </c>
    </row>
    <row r="76" spans="1:5" ht="13.5" customHeight="1" x14ac:dyDescent="0.2">
      <c r="A76" s="10">
        <v>36686</v>
      </c>
      <c r="B76" s="11" t="s">
        <v>548</v>
      </c>
      <c r="C76" s="11" t="s">
        <v>499</v>
      </c>
      <c r="D76" s="12">
        <v>7640</v>
      </c>
      <c r="E76" s="12">
        <v>22</v>
      </c>
    </row>
    <row r="77" spans="1:5" ht="13.5" customHeight="1" x14ac:dyDescent="0.2">
      <c r="A77" s="10">
        <v>36697</v>
      </c>
      <c r="B77" s="11" t="s">
        <v>566</v>
      </c>
      <c r="C77" s="11" t="s">
        <v>524</v>
      </c>
      <c r="D77" s="12">
        <v>40650</v>
      </c>
      <c r="E77" s="12">
        <v>17</v>
      </c>
    </row>
    <row r="78" spans="1:5" ht="13.5" customHeight="1" x14ac:dyDescent="0.2">
      <c r="A78" s="10">
        <v>36700</v>
      </c>
      <c r="B78" s="11" t="s">
        <v>567</v>
      </c>
      <c r="C78" s="11" t="s">
        <v>502</v>
      </c>
      <c r="D78" s="12">
        <v>50280</v>
      </c>
      <c r="E78" s="12">
        <v>20</v>
      </c>
    </row>
    <row r="79" spans="1:5" ht="13.5" customHeight="1" x14ac:dyDescent="0.2">
      <c r="A79" s="10">
        <v>36700</v>
      </c>
      <c r="B79" s="11" t="s">
        <v>567</v>
      </c>
      <c r="C79" s="11" t="s">
        <v>502</v>
      </c>
      <c r="D79" s="12">
        <v>1050</v>
      </c>
      <c r="E79" s="12">
        <v>21</v>
      </c>
    </row>
    <row r="80" spans="1:5" ht="13.5" customHeight="1" x14ac:dyDescent="0.2">
      <c r="A80" s="10">
        <v>36705</v>
      </c>
      <c r="B80" s="11" t="s">
        <v>568</v>
      </c>
      <c r="C80" s="11" t="s">
        <v>558</v>
      </c>
      <c r="D80" s="12">
        <v>4950</v>
      </c>
      <c r="E80" s="12">
        <v>28</v>
      </c>
    </row>
    <row r="81" spans="4:5" ht="13.5" customHeight="1" x14ac:dyDescent="0.2">
      <c r="D81" s="12"/>
      <c r="E81" s="12"/>
    </row>
    <row r="82" spans="4:5" ht="13.5" customHeight="1" x14ac:dyDescent="0.2">
      <c r="D82" s="12"/>
      <c r="E82" s="12"/>
    </row>
    <row r="83" spans="4:5" ht="13.5" customHeight="1" x14ac:dyDescent="0.2">
      <c r="D83" s="12"/>
      <c r="E83" s="12"/>
    </row>
    <row r="84" spans="4:5" ht="13.5" customHeight="1" x14ac:dyDescent="0.2">
      <c r="D84" s="12"/>
      <c r="E84" s="12"/>
    </row>
    <row r="85" spans="4:5" ht="13.5" customHeight="1" x14ac:dyDescent="0.2">
      <c r="D85" s="12"/>
      <c r="E85" s="12"/>
    </row>
    <row r="86" spans="4:5" ht="13.5" customHeight="1" x14ac:dyDescent="0.2">
      <c r="D86" s="12"/>
      <c r="E86" s="12"/>
    </row>
    <row r="87" spans="4:5" ht="13.5" customHeight="1" x14ac:dyDescent="0.2">
      <c r="D87" s="12"/>
      <c r="E87" s="12"/>
    </row>
    <row r="88" spans="4:5" ht="13.5" customHeight="1" x14ac:dyDescent="0.2">
      <c r="D88" s="12"/>
      <c r="E88" s="12"/>
    </row>
    <row r="89" spans="4:5" ht="13.5" customHeight="1" x14ac:dyDescent="0.2">
      <c r="D89" s="12"/>
      <c r="E89" s="12"/>
    </row>
    <row r="90" spans="4:5" ht="13.5" customHeight="1" x14ac:dyDescent="0.2">
      <c r="D90" s="12"/>
      <c r="E90" s="12"/>
    </row>
    <row r="91" spans="4:5" ht="13.5" customHeight="1" x14ac:dyDescent="0.2">
      <c r="D91" s="12"/>
      <c r="E91" s="12"/>
    </row>
    <row r="92" spans="4:5" ht="13.5" customHeight="1" x14ac:dyDescent="0.2">
      <c r="D92" s="12"/>
      <c r="E92" s="12"/>
    </row>
    <row r="93" spans="4:5" ht="13.5" customHeight="1" x14ac:dyDescent="0.2">
      <c r="D93" s="12"/>
      <c r="E93" s="12"/>
    </row>
    <row r="94" spans="4:5" ht="13.5" customHeight="1" x14ac:dyDescent="0.2">
      <c r="D94" s="12"/>
      <c r="E94" s="12"/>
    </row>
    <row r="95" spans="4:5" ht="13.5" customHeight="1" x14ac:dyDescent="0.2">
      <c r="D95" s="12"/>
      <c r="E95" s="12"/>
    </row>
    <row r="96" spans="4:5" ht="13.5" customHeight="1" x14ac:dyDescent="0.2">
      <c r="D96" s="12"/>
      <c r="E96" s="12"/>
    </row>
    <row r="97" spans="4:5" ht="13.5" customHeight="1" x14ac:dyDescent="0.2">
      <c r="D97" s="12"/>
      <c r="E97" s="12"/>
    </row>
    <row r="98" spans="4:5" ht="13.5" customHeight="1" x14ac:dyDescent="0.2">
      <c r="D98" s="12"/>
      <c r="E98" s="12"/>
    </row>
    <row r="99" spans="4:5" ht="13.5" customHeight="1" x14ac:dyDescent="0.2">
      <c r="D99" s="12"/>
      <c r="E99" s="12"/>
    </row>
    <row r="100" spans="4:5" ht="13.5" customHeight="1" x14ac:dyDescent="0.2">
      <c r="D100" s="12"/>
      <c r="E100" s="12"/>
    </row>
    <row r="101" spans="4:5" ht="13.5" customHeight="1" x14ac:dyDescent="0.2">
      <c r="D101" s="12"/>
      <c r="E101" s="12"/>
    </row>
    <row r="102" spans="4:5" ht="13.5" customHeight="1" x14ac:dyDescent="0.2">
      <c r="D102" s="12"/>
      <c r="E102" s="12"/>
    </row>
    <row r="103" spans="4:5" ht="13.5" customHeight="1" x14ac:dyDescent="0.2">
      <c r="D103" s="12"/>
      <c r="E103" s="12"/>
    </row>
    <row r="104" spans="4:5" ht="13.5" customHeight="1" x14ac:dyDescent="0.2">
      <c r="D104" s="12"/>
      <c r="E104" s="12"/>
    </row>
    <row r="105" spans="4:5" ht="13.5" customHeight="1" x14ac:dyDescent="0.2">
      <c r="D105" s="12"/>
      <c r="E105" s="12"/>
    </row>
    <row r="106" spans="4:5" ht="13.5" customHeight="1" x14ac:dyDescent="0.2">
      <c r="D106" s="12"/>
      <c r="E106" s="12"/>
    </row>
    <row r="107" spans="4:5" ht="13.5" customHeight="1" x14ac:dyDescent="0.2">
      <c r="D107" s="12"/>
      <c r="E107" s="12"/>
    </row>
    <row r="108" spans="4:5" ht="13.5" customHeight="1" x14ac:dyDescent="0.2">
      <c r="D108" s="12"/>
      <c r="E108" s="12"/>
    </row>
    <row r="109" spans="4:5" ht="13.5" customHeight="1" x14ac:dyDescent="0.2">
      <c r="D109" s="12"/>
      <c r="E109" s="12"/>
    </row>
    <row r="110" spans="4:5" ht="13.5" customHeight="1" x14ac:dyDescent="0.2">
      <c r="D110" s="12"/>
      <c r="E110" s="12"/>
    </row>
    <row r="111" spans="4:5" ht="13.5" customHeight="1" x14ac:dyDescent="0.2">
      <c r="D111" s="12"/>
      <c r="E111" s="12"/>
    </row>
    <row r="112" spans="4:5" ht="13.5" customHeight="1" x14ac:dyDescent="0.2">
      <c r="D112" s="12"/>
      <c r="E112" s="12"/>
    </row>
    <row r="113" spans="4:5" ht="13.5" customHeight="1" x14ac:dyDescent="0.2">
      <c r="D113" s="12"/>
      <c r="E113" s="12"/>
    </row>
    <row r="114" spans="4:5" ht="13.5" customHeight="1" x14ac:dyDescent="0.2">
      <c r="D114" s="12"/>
      <c r="E114" s="12"/>
    </row>
    <row r="115" spans="4:5" ht="13.5" customHeight="1" x14ac:dyDescent="0.2">
      <c r="D115" s="12"/>
      <c r="E115" s="12"/>
    </row>
    <row r="116" spans="4:5" ht="13.5" customHeight="1" x14ac:dyDescent="0.2">
      <c r="D116" s="12"/>
      <c r="E116" s="12"/>
    </row>
    <row r="117" spans="4:5" ht="13.5" customHeight="1" x14ac:dyDescent="0.2">
      <c r="D117" s="12"/>
      <c r="E117" s="12"/>
    </row>
    <row r="118" spans="4:5" ht="13.5" customHeight="1" x14ac:dyDescent="0.2">
      <c r="D118" s="12"/>
      <c r="E118" s="12"/>
    </row>
    <row r="119" spans="4:5" ht="13.5" customHeight="1" x14ac:dyDescent="0.2">
      <c r="D119" s="12"/>
      <c r="E119" s="12"/>
    </row>
    <row r="120" spans="4:5" ht="13.5" customHeight="1" x14ac:dyDescent="0.2">
      <c r="D120" s="12"/>
      <c r="E120" s="12"/>
    </row>
    <row r="121" spans="4:5" ht="13.5" customHeight="1" x14ac:dyDescent="0.2">
      <c r="D121" s="12"/>
      <c r="E121" s="12"/>
    </row>
    <row r="122" spans="4:5" ht="13.5" customHeight="1" x14ac:dyDescent="0.2">
      <c r="D122" s="12"/>
      <c r="E122" s="12"/>
    </row>
    <row r="123" spans="4:5" ht="13.5" customHeight="1" x14ac:dyDescent="0.2">
      <c r="D123" s="12"/>
      <c r="E123" s="12"/>
    </row>
    <row r="124" spans="4:5" ht="13.5" customHeight="1" x14ac:dyDescent="0.2">
      <c r="D124" s="12"/>
      <c r="E124" s="12"/>
    </row>
    <row r="125" spans="4:5" ht="13.5" customHeight="1" x14ac:dyDescent="0.2">
      <c r="D125" s="12"/>
      <c r="E125" s="12"/>
    </row>
    <row r="126" spans="4:5" ht="13.5" customHeight="1" x14ac:dyDescent="0.2">
      <c r="D126" s="12"/>
      <c r="E126" s="12"/>
    </row>
    <row r="127" spans="4:5" ht="13.5" customHeight="1" x14ac:dyDescent="0.2">
      <c r="D127" s="12"/>
      <c r="E127" s="12"/>
    </row>
    <row r="128" spans="4:5" ht="13.5" customHeight="1" x14ac:dyDescent="0.2">
      <c r="D128" s="12"/>
      <c r="E128" s="12"/>
    </row>
    <row r="129" spans="4:5" ht="13.5" customHeight="1" x14ac:dyDescent="0.2">
      <c r="D129" s="12"/>
      <c r="E129" s="12"/>
    </row>
    <row r="130" spans="4:5" ht="13.5" customHeight="1" x14ac:dyDescent="0.2">
      <c r="D130" s="12"/>
      <c r="E130" s="12"/>
    </row>
    <row r="131" spans="4:5" ht="13.5" customHeight="1" x14ac:dyDescent="0.2">
      <c r="D131" s="12"/>
      <c r="E131" s="12"/>
    </row>
    <row r="132" spans="4:5" ht="13.5" customHeight="1" x14ac:dyDescent="0.2">
      <c r="D132" s="12"/>
      <c r="E132" s="12"/>
    </row>
    <row r="133" spans="4:5" ht="13.5" customHeight="1" x14ac:dyDescent="0.2">
      <c r="D133" s="12"/>
      <c r="E133" s="12"/>
    </row>
    <row r="134" spans="4:5" ht="13.5" customHeight="1" x14ac:dyDescent="0.2">
      <c r="D134" s="12"/>
      <c r="E134" s="12"/>
    </row>
    <row r="135" spans="4:5" ht="13.5" customHeight="1" x14ac:dyDescent="0.2">
      <c r="D135" s="12"/>
      <c r="E135" s="12"/>
    </row>
    <row r="136" spans="4:5" ht="13.5" customHeight="1" x14ac:dyDescent="0.2">
      <c r="D136" s="12"/>
      <c r="E136" s="12"/>
    </row>
    <row r="137" spans="4:5" ht="13.5" customHeight="1" x14ac:dyDescent="0.2">
      <c r="D137" s="12"/>
      <c r="E137" s="12"/>
    </row>
    <row r="138" spans="4:5" ht="13.5" customHeight="1" x14ac:dyDescent="0.2">
      <c r="D138" s="12"/>
      <c r="E138" s="12"/>
    </row>
    <row r="139" spans="4:5" ht="13.5" customHeight="1" x14ac:dyDescent="0.2">
      <c r="D139" s="12"/>
      <c r="E139" s="12"/>
    </row>
    <row r="140" spans="4:5" ht="13.5" customHeight="1" x14ac:dyDescent="0.2">
      <c r="D140" s="12"/>
      <c r="E140" s="12"/>
    </row>
    <row r="141" spans="4:5" ht="13.5" customHeight="1" x14ac:dyDescent="0.2">
      <c r="D141" s="12"/>
      <c r="E141" s="12"/>
    </row>
    <row r="142" spans="4:5" ht="13.5" customHeight="1" x14ac:dyDescent="0.2">
      <c r="D142" s="12"/>
      <c r="E142" s="12"/>
    </row>
    <row r="143" spans="4:5" ht="13.5" customHeight="1" x14ac:dyDescent="0.2">
      <c r="D143" s="12"/>
      <c r="E143" s="12"/>
    </row>
    <row r="144" spans="4:5" ht="13.5" customHeight="1" x14ac:dyDescent="0.2">
      <c r="D144" s="12"/>
      <c r="E144" s="12"/>
    </row>
    <row r="145" spans="4:5" ht="13.5" customHeight="1" x14ac:dyDescent="0.2">
      <c r="D145" s="12"/>
      <c r="E145" s="12"/>
    </row>
    <row r="146" spans="4:5" ht="13.5" customHeight="1" x14ac:dyDescent="0.2">
      <c r="D146" s="12"/>
      <c r="E146" s="12"/>
    </row>
    <row r="147" spans="4:5" ht="13.5" customHeight="1" x14ac:dyDescent="0.2">
      <c r="D147" s="12"/>
      <c r="E147" s="12"/>
    </row>
    <row r="148" spans="4:5" ht="13.5" customHeight="1" x14ac:dyDescent="0.2">
      <c r="D148" s="12"/>
      <c r="E148" s="12"/>
    </row>
    <row r="149" spans="4:5" ht="13.5" customHeight="1" x14ac:dyDescent="0.2">
      <c r="D149" s="12"/>
      <c r="E149" s="12"/>
    </row>
    <row r="150" spans="4:5" ht="13.5" customHeight="1" x14ac:dyDescent="0.2">
      <c r="D150" s="12"/>
      <c r="E150" s="12"/>
    </row>
    <row r="151" spans="4:5" ht="13.5" customHeight="1" x14ac:dyDescent="0.2">
      <c r="D151" s="12"/>
      <c r="E151" s="12"/>
    </row>
    <row r="152" spans="4:5" ht="13.5" customHeight="1" x14ac:dyDescent="0.2">
      <c r="D152" s="12"/>
      <c r="E152" s="12"/>
    </row>
    <row r="153" spans="4:5" ht="13.5" customHeight="1" x14ac:dyDescent="0.2">
      <c r="D153" s="12"/>
      <c r="E153" s="12"/>
    </row>
    <row r="154" spans="4:5" ht="13.5" customHeight="1" x14ac:dyDescent="0.2">
      <c r="D154" s="12"/>
      <c r="E154" s="12"/>
    </row>
    <row r="155" spans="4:5" ht="13.5" customHeight="1" x14ac:dyDescent="0.2">
      <c r="D155" s="12"/>
      <c r="E155" s="12"/>
    </row>
    <row r="156" spans="4:5" ht="13.5" customHeight="1" x14ac:dyDescent="0.2">
      <c r="D156" s="12"/>
      <c r="E156" s="12"/>
    </row>
    <row r="157" spans="4:5" ht="13.5" customHeight="1" x14ac:dyDescent="0.2">
      <c r="D157" s="12"/>
      <c r="E157" s="12"/>
    </row>
    <row r="158" spans="4:5" ht="13.5" customHeight="1" x14ac:dyDescent="0.2">
      <c r="D158" s="12"/>
      <c r="E158" s="12"/>
    </row>
    <row r="159" spans="4:5" ht="13.5" customHeight="1" x14ac:dyDescent="0.2">
      <c r="D159" s="12"/>
      <c r="E159" s="12"/>
    </row>
    <row r="160" spans="4:5" ht="13.5" customHeight="1" x14ac:dyDescent="0.2">
      <c r="D160" s="12"/>
      <c r="E160" s="12"/>
    </row>
    <row r="161" spans="4:5" ht="13.5" customHeight="1" x14ac:dyDescent="0.2">
      <c r="D161" s="12"/>
      <c r="E161" s="12"/>
    </row>
    <row r="162" spans="4:5" ht="13.5" customHeight="1" x14ac:dyDescent="0.2">
      <c r="D162" s="12"/>
      <c r="E162" s="12"/>
    </row>
    <row r="163" spans="4:5" ht="13.5" customHeight="1" x14ac:dyDescent="0.2">
      <c r="D163" s="12"/>
      <c r="E163" s="12"/>
    </row>
    <row r="164" spans="4:5" ht="13.5" customHeight="1" x14ac:dyDescent="0.2">
      <c r="D164" s="12"/>
      <c r="E164" s="12"/>
    </row>
    <row r="165" spans="4:5" ht="13.5" customHeight="1" x14ac:dyDescent="0.2">
      <c r="D165" s="12"/>
      <c r="E165" s="12"/>
    </row>
    <row r="166" spans="4:5" ht="13.5" customHeight="1" x14ac:dyDescent="0.2">
      <c r="D166" s="12"/>
      <c r="E166" s="12"/>
    </row>
    <row r="167" spans="4:5" ht="13.5" customHeight="1" x14ac:dyDescent="0.2">
      <c r="D167" s="12"/>
      <c r="E167" s="12"/>
    </row>
    <row r="168" spans="4:5" ht="13.5" customHeight="1" x14ac:dyDescent="0.2">
      <c r="D168" s="12"/>
      <c r="E168" s="12"/>
    </row>
    <row r="169" spans="4:5" ht="13.5" customHeight="1" x14ac:dyDescent="0.2">
      <c r="D169" s="12"/>
      <c r="E169" s="12"/>
    </row>
    <row r="170" spans="4:5" ht="13.5" customHeight="1" x14ac:dyDescent="0.2">
      <c r="D170" s="12"/>
      <c r="E170" s="12"/>
    </row>
    <row r="171" spans="4:5" ht="13.5" customHeight="1" x14ac:dyDescent="0.2">
      <c r="D171" s="12"/>
      <c r="E171" s="12"/>
    </row>
    <row r="172" spans="4:5" ht="13.5" customHeight="1" x14ac:dyDescent="0.2">
      <c r="D172" s="12"/>
      <c r="E172" s="12"/>
    </row>
    <row r="173" spans="4:5" ht="13.5" customHeight="1" x14ac:dyDescent="0.2">
      <c r="D173" s="12"/>
      <c r="E173" s="12"/>
    </row>
    <row r="174" spans="4:5" ht="13.5" customHeight="1" x14ac:dyDescent="0.2">
      <c r="D174" s="12"/>
      <c r="E174" s="12"/>
    </row>
    <row r="175" spans="4:5" ht="13.5" customHeight="1" x14ac:dyDescent="0.2">
      <c r="D175" s="12"/>
      <c r="E175" s="12"/>
    </row>
    <row r="176" spans="4:5" ht="13.5" customHeight="1" x14ac:dyDescent="0.2">
      <c r="D176" s="12"/>
      <c r="E176" s="12"/>
    </row>
    <row r="177" spans="4:5" ht="13.5" customHeight="1" x14ac:dyDescent="0.2">
      <c r="D177" s="12"/>
      <c r="E177" s="12"/>
    </row>
    <row r="178" spans="4:5" ht="13.5" customHeight="1" x14ac:dyDescent="0.2">
      <c r="D178" s="12"/>
      <c r="E178" s="12"/>
    </row>
    <row r="179" spans="4:5" ht="13.5" customHeight="1" x14ac:dyDescent="0.2">
      <c r="D179" s="12"/>
      <c r="E179" s="12"/>
    </row>
    <row r="180" spans="4:5" ht="13.5" customHeight="1" x14ac:dyDescent="0.2">
      <c r="D180" s="12"/>
      <c r="E180" s="12"/>
    </row>
    <row r="181" spans="4:5" ht="13.5" customHeight="1" x14ac:dyDescent="0.2">
      <c r="D181" s="12"/>
      <c r="E181" s="12"/>
    </row>
    <row r="182" spans="4:5" ht="13.5" customHeight="1" x14ac:dyDescent="0.2">
      <c r="D182" s="12"/>
      <c r="E182" s="12"/>
    </row>
    <row r="183" spans="4:5" ht="13.5" customHeight="1" x14ac:dyDescent="0.2">
      <c r="D183" s="12"/>
      <c r="E183" s="12"/>
    </row>
    <row r="184" spans="4:5" ht="13.5" customHeight="1" x14ac:dyDescent="0.2">
      <c r="D184" s="12"/>
      <c r="E184" s="12"/>
    </row>
    <row r="185" spans="4:5" ht="13.5" customHeight="1" x14ac:dyDescent="0.2">
      <c r="D185" s="12"/>
      <c r="E185" s="12"/>
    </row>
    <row r="186" spans="4:5" ht="13.5" customHeight="1" x14ac:dyDescent="0.2">
      <c r="D186" s="12"/>
      <c r="E186" s="12"/>
    </row>
    <row r="187" spans="4:5" ht="13.5" customHeight="1" x14ac:dyDescent="0.2">
      <c r="D187" s="12"/>
      <c r="E187" s="12"/>
    </row>
    <row r="188" spans="4:5" ht="13.5" customHeight="1" x14ac:dyDescent="0.2">
      <c r="D188" s="12"/>
      <c r="E188" s="12"/>
    </row>
    <row r="189" spans="4:5" ht="13.5" customHeight="1" x14ac:dyDescent="0.2">
      <c r="D189" s="12"/>
      <c r="E189" s="12"/>
    </row>
    <row r="190" spans="4:5" ht="13.5" customHeight="1" x14ac:dyDescent="0.2">
      <c r="D190" s="12"/>
      <c r="E190" s="12"/>
    </row>
    <row r="191" spans="4:5" ht="13.5" customHeight="1" x14ac:dyDescent="0.2">
      <c r="D191" s="12"/>
      <c r="E191" s="12"/>
    </row>
    <row r="192" spans="4:5" ht="13.5" customHeight="1" x14ac:dyDescent="0.2">
      <c r="D192" s="12"/>
      <c r="E192" s="12"/>
    </row>
    <row r="193" spans="4:5" ht="13.5" customHeight="1" x14ac:dyDescent="0.2">
      <c r="D193" s="12"/>
      <c r="E193" s="12"/>
    </row>
    <row r="194" spans="4:5" ht="13.5" customHeight="1" x14ac:dyDescent="0.2">
      <c r="D194" s="12"/>
      <c r="E194" s="12"/>
    </row>
    <row r="195" spans="4:5" ht="13.5" customHeight="1" x14ac:dyDescent="0.2">
      <c r="D195" s="12"/>
      <c r="E195" s="12"/>
    </row>
    <row r="196" spans="4:5" ht="13.5" customHeight="1" x14ac:dyDescent="0.2">
      <c r="D196" s="12"/>
      <c r="E196" s="12"/>
    </row>
    <row r="197" spans="4:5" ht="13.5" customHeight="1" x14ac:dyDescent="0.2">
      <c r="D197" s="12"/>
      <c r="E197" s="12"/>
    </row>
    <row r="198" spans="4:5" ht="13.5" customHeight="1" x14ac:dyDescent="0.2">
      <c r="D198" s="12"/>
      <c r="E198" s="12"/>
    </row>
    <row r="199" spans="4:5" ht="13.5" customHeight="1" x14ac:dyDescent="0.2">
      <c r="D199" s="12"/>
      <c r="E199" s="12"/>
    </row>
    <row r="200" spans="4:5" ht="13.5" customHeight="1" x14ac:dyDescent="0.2">
      <c r="D200" s="12"/>
      <c r="E200" s="12"/>
    </row>
    <row r="201" spans="4:5" ht="13.5" customHeight="1" x14ac:dyDescent="0.2">
      <c r="D201" s="12"/>
      <c r="E201" s="12"/>
    </row>
    <row r="202" spans="4:5" ht="13.5" customHeight="1" x14ac:dyDescent="0.2">
      <c r="D202" s="12"/>
      <c r="E202" s="12"/>
    </row>
    <row r="203" spans="4:5" ht="13.5" customHeight="1" x14ac:dyDescent="0.2">
      <c r="D203" s="12"/>
      <c r="E203" s="12"/>
    </row>
    <row r="204" spans="4:5" ht="13.5" customHeight="1" x14ac:dyDescent="0.2">
      <c r="D204" s="12"/>
      <c r="E204" s="12"/>
    </row>
    <row r="205" spans="4:5" ht="13.5" customHeight="1" x14ac:dyDescent="0.2">
      <c r="D205" s="12"/>
      <c r="E205" s="12"/>
    </row>
    <row r="206" spans="4:5" ht="13.5" customHeight="1" x14ac:dyDescent="0.2">
      <c r="D206" s="12"/>
      <c r="E206" s="12"/>
    </row>
    <row r="207" spans="4:5" ht="13.5" customHeight="1" x14ac:dyDescent="0.2">
      <c r="D207" s="12"/>
      <c r="E207" s="12"/>
    </row>
    <row r="208" spans="4:5" ht="13.5" customHeight="1" x14ac:dyDescent="0.2">
      <c r="D208" s="12"/>
      <c r="E208" s="12"/>
    </row>
    <row r="209" spans="4:5" ht="13.5" customHeight="1" x14ac:dyDescent="0.2">
      <c r="D209" s="12"/>
      <c r="E209" s="12"/>
    </row>
    <row r="210" spans="4:5" ht="13.5" customHeight="1" x14ac:dyDescent="0.2">
      <c r="D210" s="12"/>
      <c r="E210" s="12"/>
    </row>
    <row r="211" spans="4:5" ht="13.5" customHeight="1" x14ac:dyDescent="0.2">
      <c r="D211" s="12"/>
      <c r="E211" s="12"/>
    </row>
    <row r="212" spans="4:5" ht="13.5" customHeight="1" x14ac:dyDescent="0.2">
      <c r="D212" s="12"/>
      <c r="E212" s="12"/>
    </row>
    <row r="213" spans="4:5" ht="13.5" customHeight="1" x14ac:dyDescent="0.2">
      <c r="D213" s="12"/>
      <c r="E213" s="12"/>
    </row>
    <row r="214" spans="4:5" ht="13.5" customHeight="1" x14ac:dyDescent="0.2">
      <c r="D214" s="12"/>
      <c r="E214" s="12"/>
    </row>
    <row r="215" spans="4:5" ht="13.5" customHeight="1" x14ac:dyDescent="0.2">
      <c r="D215" s="12"/>
      <c r="E215" s="12"/>
    </row>
    <row r="216" spans="4:5" ht="13.5" customHeight="1" x14ac:dyDescent="0.2">
      <c r="D216" s="12"/>
      <c r="E216" s="12"/>
    </row>
    <row r="217" spans="4:5" ht="13.5" customHeight="1" x14ac:dyDescent="0.2">
      <c r="D217" s="12"/>
      <c r="E217" s="12"/>
    </row>
    <row r="218" spans="4:5" ht="13.5" customHeight="1" x14ac:dyDescent="0.2">
      <c r="D218" s="12"/>
      <c r="E218" s="12"/>
    </row>
    <row r="219" spans="4:5" ht="13.5" customHeight="1" x14ac:dyDescent="0.2">
      <c r="D219" s="12"/>
      <c r="E219" s="12"/>
    </row>
    <row r="220" spans="4:5" ht="13.5" customHeight="1" x14ac:dyDescent="0.2">
      <c r="D220" s="12"/>
      <c r="E220" s="12"/>
    </row>
    <row r="221" spans="4:5" ht="13.5" customHeight="1" x14ac:dyDescent="0.2">
      <c r="D221" s="12"/>
      <c r="E221" s="12"/>
    </row>
    <row r="222" spans="4:5" ht="13.5" customHeight="1" x14ac:dyDescent="0.2">
      <c r="D222" s="12"/>
      <c r="E222" s="12"/>
    </row>
    <row r="223" spans="4:5" ht="13.5" customHeight="1" x14ac:dyDescent="0.2">
      <c r="D223" s="12"/>
      <c r="E223" s="12"/>
    </row>
    <row r="224" spans="4:5" ht="13.5" customHeight="1" x14ac:dyDescent="0.2">
      <c r="D224" s="12"/>
      <c r="E224" s="12"/>
    </row>
    <row r="225" spans="4:5" ht="13.5" customHeight="1" x14ac:dyDescent="0.2">
      <c r="D225" s="12"/>
      <c r="E225" s="12"/>
    </row>
    <row r="226" spans="4:5" ht="13.5" customHeight="1" x14ac:dyDescent="0.2">
      <c r="D226" s="12"/>
      <c r="E226" s="12"/>
    </row>
    <row r="227" spans="4:5" ht="13.5" customHeight="1" x14ac:dyDescent="0.2">
      <c r="D227" s="12"/>
      <c r="E227" s="12"/>
    </row>
    <row r="228" spans="4:5" ht="13.5" customHeight="1" x14ac:dyDescent="0.2">
      <c r="D228" s="12"/>
      <c r="E228" s="12"/>
    </row>
    <row r="229" spans="4:5" ht="13.5" customHeight="1" x14ac:dyDescent="0.2">
      <c r="D229" s="12"/>
      <c r="E229" s="12"/>
    </row>
    <row r="230" spans="4:5" ht="13.5" customHeight="1" x14ac:dyDescent="0.2">
      <c r="D230" s="12"/>
      <c r="E230" s="12"/>
    </row>
    <row r="231" spans="4:5" ht="13.5" customHeight="1" x14ac:dyDescent="0.2">
      <c r="D231" s="12"/>
      <c r="E231" s="12"/>
    </row>
    <row r="232" spans="4:5" ht="13.5" customHeight="1" x14ac:dyDescent="0.2">
      <c r="D232" s="12"/>
      <c r="E232" s="12"/>
    </row>
    <row r="233" spans="4:5" ht="13.5" customHeight="1" x14ac:dyDescent="0.2">
      <c r="D233" s="12"/>
      <c r="E233" s="12"/>
    </row>
    <row r="234" spans="4:5" ht="13.5" customHeight="1" x14ac:dyDescent="0.2">
      <c r="D234" s="12"/>
      <c r="E234" s="12"/>
    </row>
    <row r="235" spans="4:5" ht="13.5" customHeight="1" x14ac:dyDescent="0.2">
      <c r="D235" s="12"/>
      <c r="E235" s="12"/>
    </row>
    <row r="236" spans="4:5" ht="13.5" customHeight="1" x14ac:dyDescent="0.2">
      <c r="D236" s="12"/>
      <c r="E236" s="12"/>
    </row>
    <row r="237" spans="4:5" ht="13.5" customHeight="1" x14ac:dyDescent="0.2">
      <c r="D237" s="12"/>
      <c r="E237" s="12"/>
    </row>
    <row r="238" spans="4:5" ht="13.5" customHeight="1" x14ac:dyDescent="0.2">
      <c r="D238" s="12"/>
      <c r="E238" s="12"/>
    </row>
    <row r="239" spans="4:5" ht="13.5" customHeight="1" x14ac:dyDescent="0.2">
      <c r="D239" s="12"/>
      <c r="E239" s="12"/>
    </row>
    <row r="240" spans="4:5" ht="13.5" customHeight="1" x14ac:dyDescent="0.2">
      <c r="D240" s="12"/>
      <c r="E240" s="12"/>
    </row>
    <row r="241" spans="4:5" ht="13.5" customHeight="1" x14ac:dyDescent="0.2">
      <c r="D241" s="12"/>
      <c r="E241" s="12"/>
    </row>
    <row r="242" spans="4:5" ht="13.5" customHeight="1" x14ac:dyDescent="0.2">
      <c r="D242" s="12"/>
      <c r="E242" s="12"/>
    </row>
    <row r="243" spans="4:5" ht="13.5" customHeight="1" x14ac:dyDescent="0.2">
      <c r="D243" s="12"/>
      <c r="E243" s="12"/>
    </row>
    <row r="244" spans="4:5" ht="13.5" customHeight="1" x14ac:dyDescent="0.2">
      <c r="D244" s="12"/>
      <c r="E244" s="12"/>
    </row>
    <row r="245" spans="4:5" ht="13.5" customHeight="1" x14ac:dyDescent="0.2">
      <c r="D245" s="12"/>
      <c r="E245" s="12"/>
    </row>
    <row r="246" spans="4:5" ht="13.5" customHeight="1" x14ac:dyDescent="0.2">
      <c r="D246" s="12"/>
      <c r="E246" s="12"/>
    </row>
    <row r="247" spans="4:5" ht="13.5" customHeight="1" x14ac:dyDescent="0.2">
      <c r="D247" s="12"/>
      <c r="E247" s="12"/>
    </row>
    <row r="248" spans="4:5" ht="13.5" customHeight="1" x14ac:dyDescent="0.2">
      <c r="D248" s="12"/>
      <c r="E248" s="12"/>
    </row>
    <row r="249" spans="4:5" ht="13.5" customHeight="1" x14ac:dyDescent="0.2">
      <c r="D249" s="12"/>
      <c r="E249" s="12"/>
    </row>
    <row r="250" spans="4:5" ht="13.5" customHeight="1" x14ac:dyDescent="0.2">
      <c r="D250" s="12"/>
      <c r="E250" s="12"/>
    </row>
    <row r="251" spans="4:5" ht="13.5" customHeight="1" x14ac:dyDescent="0.2">
      <c r="D251" s="12"/>
      <c r="E251" s="12"/>
    </row>
    <row r="252" spans="4:5" ht="13.5" customHeight="1" x14ac:dyDescent="0.2">
      <c r="D252" s="12"/>
      <c r="E252" s="12"/>
    </row>
    <row r="253" spans="4:5" ht="13.5" customHeight="1" x14ac:dyDescent="0.2">
      <c r="D253" s="12"/>
      <c r="E253" s="12"/>
    </row>
    <row r="254" spans="4:5" ht="13.5" customHeight="1" x14ac:dyDescent="0.2">
      <c r="D254" s="12"/>
      <c r="E254" s="12"/>
    </row>
    <row r="255" spans="4:5" ht="13.5" customHeight="1" x14ac:dyDescent="0.2">
      <c r="D255" s="12"/>
      <c r="E255" s="12"/>
    </row>
    <row r="256" spans="4:5" ht="13.5" customHeight="1" x14ac:dyDescent="0.2">
      <c r="D256" s="12"/>
      <c r="E256" s="12"/>
    </row>
    <row r="257" spans="4:5" ht="13.5" customHeight="1" x14ac:dyDescent="0.2">
      <c r="D257" s="12"/>
      <c r="E257" s="12"/>
    </row>
    <row r="258" spans="4:5" ht="13.5" customHeight="1" x14ac:dyDescent="0.2">
      <c r="D258" s="12"/>
      <c r="E258" s="12"/>
    </row>
    <row r="259" spans="4:5" ht="13.5" customHeight="1" x14ac:dyDescent="0.2">
      <c r="D259" s="12"/>
      <c r="E259" s="12"/>
    </row>
    <row r="260" spans="4:5" ht="13.5" customHeight="1" x14ac:dyDescent="0.2">
      <c r="D260" s="12"/>
      <c r="E260" s="12"/>
    </row>
    <row r="261" spans="4:5" ht="13.5" customHeight="1" x14ac:dyDescent="0.2">
      <c r="D261" s="12"/>
      <c r="E261" s="12"/>
    </row>
    <row r="262" spans="4:5" ht="13.5" customHeight="1" x14ac:dyDescent="0.2">
      <c r="D262" s="12"/>
      <c r="E262" s="12"/>
    </row>
    <row r="263" spans="4:5" ht="13.5" customHeight="1" x14ac:dyDescent="0.2">
      <c r="D263" s="12"/>
      <c r="E263" s="12"/>
    </row>
    <row r="264" spans="4:5" ht="13.5" customHeight="1" x14ac:dyDescent="0.2">
      <c r="D264" s="12"/>
      <c r="E264" s="12"/>
    </row>
    <row r="265" spans="4:5" ht="13.5" customHeight="1" x14ac:dyDescent="0.2">
      <c r="D265" s="12"/>
      <c r="E265" s="12"/>
    </row>
    <row r="266" spans="4:5" ht="13.5" customHeight="1" x14ac:dyDescent="0.2">
      <c r="D266" s="12"/>
      <c r="E266" s="12"/>
    </row>
    <row r="267" spans="4:5" ht="13.5" customHeight="1" x14ac:dyDescent="0.2">
      <c r="D267" s="12"/>
      <c r="E267" s="12"/>
    </row>
    <row r="268" spans="4:5" ht="13.5" customHeight="1" x14ac:dyDescent="0.2">
      <c r="D268" s="12"/>
      <c r="E268" s="12"/>
    </row>
    <row r="269" spans="4:5" ht="13.5" customHeight="1" x14ac:dyDescent="0.2">
      <c r="D269" s="12"/>
      <c r="E269" s="12"/>
    </row>
    <row r="270" spans="4:5" ht="13.5" customHeight="1" x14ac:dyDescent="0.2">
      <c r="D270" s="12"/>
      <c r="E270" s="12"/>
    </row>
    <row r="271" spans="4:5" ht="13.5" customHeight="1" x14ac:dyDescent="0.2">
      <c r="D271" s="12"/>
      <c r="E271" s="12"/>
    </row>
    <row r="272" spans="4:5" ht="13.5" customHeight="1" x14ac:dyDescent="0.2">
      <c r="D272" s="12"/>
      <c r="E272" s="12"/>
    </row>
    <row r="273" spans="4:5" ht="13.5" customHeight="1" x14ac:dyDescent="0.2">
      <c r="D273" s="12"/>
      <c r="E273" s="12"/>
    </row>
    <row r="274" spans="4:5" ht="13.5" customHeight="1" x14ac:dyDescent="0.2">
      <c r="D274" s="12"/>
      <c r="E274" s="12"/>
    </row>
    <row r="275" spans="4:5" ht="13.5" customHeight="1" x14ac:dyDescent="0.2">
      <c r="D275" s="12"/>
      <c r="E275" s="12"/>
    </row>
    <row r="276" spans="4:5" ht="13.5" customHeight="1" x14ac:dyDescent="0.2">
      <c r="D276" s="12"/>
      <c r="E276" s="12"/>
    </row>
    <row r="277" spans="4:5" ht="13.5" customHeight="1" x14ac:dyDescent="0.2">
      <c r="D277" s="12"/>
      <c r="E277" s="12"/>
    </row>
    <row r="278" spans="4:5" ht="13.5" customHeight="1" x14ac:dyDescent="0.2">
      <c r="D278" s="12"/>
      <c r="E278" s="12"/>
    </row>
    <row r="279" spans="4:5" ht="13.5" customHeight="1" x14ac:dyDescent="0.2">
      <c r="D279" s="12"/>
      <c r="E279" s="12"/>
    </row>
    <row r="280" spans="4:5" ht="13.5" customHeight="1" x14ac:dyDescent="0.2">
      <c r="D280" s="12"/>
      <c r="E280" s="12"/>
    </row>
    <row r="281" spans="4:5" ht="13.5" customHeight="1" x14ac:dyDescent="0.2">
      <c r="D281" s="12"/>
      <c r="E281" s="12"/>
    </row>
    <row r="282" spans="4:5" ht="13.5" customHeight="1" x14ac:dyDescent="0.2">
      <c r="D282" s="12"/>
      <c r="E282" s="12"/>
    </row>
    <row r="283" spans="4:5" ht="13.5" customHeight="1" x14ac:dyDescent="0.2">
      <c r="D283" s="12"/>
      <c r="E283" s="12"/>
    </row>
    <row r="284" spans="4:5" ht="13.5" customHeight="1" x14ac:dyDescent="0.2">
      <c r="D284" s="12"/>
      <c r="E284" s="12"/>
    </row>
    <row r="285" spans="4:5" ht="13.5" customHeight="1" x14ac:dyDescent="0.2">
      <c r="D285" s="12"/>
      <c r="E285" s="12"/>
    </row>
    <row r="286" spans="4:5" ht="13.5" customHeight="1" x14ac:dyDescent="0.2">
      <c r="D286" s="12"/>
      <c r="E286" s="12"/>
    </row>
    <row r="287" spans="4:5" ht="13.5" customHeight="1" x14ac:dyDescent="0.2">
      <c r="D287" s="12"/>
      <c r="E287" s="12"/>
    </row>
    <row r="288" spans="4:5" ht="13.5" customHeight="1" x14ac:dyDescent="0.2">
      <c r="D288" s="12"/>
      <c r="E288" s="12"/>
    </row>
    <row r="289" spans="4:5" ht="13.5" customHeight="1" x14ac:dyDescent="0.2">
      <c r="D289" s="12"/>
      <c r="E289" s="12"/>
    </row>
    <row r="290" spans="4:5" ht="13.5" customHeight="1" x14ac:dyDescent="0.2">
      <c r="D290" s="12"/>
      <c r="E290" s="12"/>
    </row>
    <row r="291" spans="4:5" ht="13.5" customHeight="1" x14ac:dyDescent="0.2">
      <c r="D291" s="12"/>
      <c r="E291" s="12"/>
    </row>
    <row r="292" spans="4:5" ht="13.5" customHeight="1" x14ac:dyDescent="0.2">
      <c r="D292" s="12"/>
      <c r="E292" s="12"/>
    </row>
    <row r="293" spans="4:5" ht="13.5" customHeight="1" x14ac:dyDescent="0.2">
      <c r="D293" s="12"/>
      <c r="E293" s="12"/>
    </row>
    <row r="294" spans="4:5" ht="13.5" customHeight="1" x14ac:dyDescent="0.2">
      <c r="D294" s="12"/>
      <c r="E294" s="12"/>
    </row>
    <row r="295" spans="4:5" ht="13.5" customHeight="1" x14ac:dyDescent="0.2">
      <c r="D295" s="12"/>
      <c r="E295" s="12"/>
    </row>
    <row r="296" spans="4:5" ht="13.5" customHeight="1" x14ac:dyDescent="0.2">
      <c r="D296" s="12"/>
      <c r="E296" s="12"/>
    </row>
    <row r="297" spans="4:5" ht="13.5" customHeight="1" x14ac:dyDescent="0.2">
      <c r="D297" s="12"/>
      <c r="E297" s="12"/>
    </row>
    <row r="298" spans="4:5" ht="13.5" customHeight="1" x14ac:dyDescent="0.2">
      <c r="D298" s="12"/>
      <c r="E298" s="12"/>
    </row>
    <row r="299" spans="4:5" ht="13.5" customHeight="1" x14ac:dyDescent="0.2">
      <c r="D299" s="12"/>
      <c r="E299" s="12"/>
    </row>
    <row r="300" spans="4:5" ht="13.5" customHeight="1" x14ac:dyDescent="0.2">
      <c r="D300" s="12"/>
      <c r="E300" s="12"/>
    </row>
    <row r="301" spans="4:5" ht="13.5" customHeight="1" x14ac:dyDescent="0.2">
      <c r="D301" s="12"/>
      <c r="E301" s="12"/>
    </row>
    <row r="302" spans="4:5" ht="13.5" customHeight="1" x14ac:dyDescent="0.2">
      <c r="D302" s="12"/>
      <c r="E302" s="12"/>
    </row>
    <row r="303" spans="4:5" ht="13.5" customHeight="1" x14ac:dyDescent="0.2">
      <c r="D303" s="12"/>
      <c r="E303" s="12"/>
    </row>
    <row r="304" spans="4:5" ht="13.5" customHeight="1" x14ac:dyDescent="0.2">
      <c r="D304" s="12"/>
      <c r="E304" s="12"/>
    </row>
    <row r="305" spans="4:5" ht="13.5" customHeight="1" x14ac:dyDescent="0.2">
      <c r="D305" s="12"/>
      <c r="E305" s="12"/>
    </row>
    <row r="306" spans="4:5" ht="13.5" customHeight="1" x14ac:dyDescent="0.2">
      <c r="D306" s="12"/>
      <c r="E306" s="12"/>
    </row>
    <row r="307" spans="4:5" ht="13.5" customHeight="1" x14ac:dyDescent="0.2">
      <c r="D307" s="12"/>
      <c r="E307" s="12"/>
    </row>
    <row r="308" spans="4:5" ht="13.5" customHeight="1" x14ac:dyDescent="0.2">
      <c r="D308" s="12"/>
      <c r="E308" s="12"/>
    </row>
    <row r="309" spans="4:5" ht="13.5" customHeight="1" x14ac:dyDescent="0.2">
      <c r="D309" s="12"/>
      <c r="E309" s="12"/>
    </row>
    <row r="310" spans="4:5" ht="13.5" customHeight="1" x14ac:dyDescent="0.2">
      <c r="D310" s="12"/>
      <c r="E310" s="12"/>
    </row>
    <row r="311" spans="4:5" ht="13.5" customHeight="1" x14ac:dyDescent="0.2">
      <c r="D311" s="12"/>
      <c r="E311" s="12"/>
    </row>
    <row r="312" spans="4:5" ht="13.5" customHeight="1" x14ac:dyDescent="0.2">
      <c r="D312" s="12"/>
      <c r="E312" s="12"/>
    </row>
    <row r="313" spans="4:5" ht="13.5" customHeight="1" x14ac:dyDescent="0.2">
      <c r="D313" s="12"/>
      <c r="E313" s="12"/>
    </row>
    <row r="314" spans="4:5" ht="13.5" customHeight="1" x14ac:dyDescent="0.2">
      <c r="D314" s="12"/>
      <c r="E314" s="12"/>
    </row>
    <row r="315" spans="4:5" ht="13.5" customHeight="1" x14ac:dyDescent="0.2">
      <c r="D315" s="12"/>
      <c r="E315" s="12"/>
    </row>
    <row r="316" spans="4:5" ht="13.5" customHeight="1" x14ac:dyDescent="0.2">
      <c r="D316" s="12"/>
      <c r="E316" s="12"/>
    </row>
    <row r="317" spans="4:5" ht="13.5" customHeight="1" x14ac:dyDescent="0.2">
      <c r="D317" s="12"/>
      <c r="E317" s="12"/>
    </row>
    <row r="318" spans="4:5" ht="13.5" customHeight="1" x14ac:dyDescent="0.2">
      <c r="D318" s="12"/>
      <c r="E318" s="12"/>
    </row>
    <row r="319" spans="4:5" ht="13.5" customHeight="1" x14ac:dyDescent="0.2">
      <c r="D319" s="12"/>
      <c r="E319" s="12"/>
    </row>
    <row r="320" spans="4:5" ht="13.5" customHeight="1" x14ac:dyDescent="0.2">
      <c r="D320" s="12"/>
      <c r="E320" s="12"/>
    </row>
    <row r="321" spans="4:5" ht="13.5" customHeight="1" x14ac:dyDescent="0.2">
      <c r="D321" s="12"/>
      <c r="E321" s="12"/>
    </row>
    <row r="322" spans="4:5" ht="13.5" customHeight="1" x14ac:dyDescent="0.2">
      <c r="D322" s="12"/>
      <c r="E322" s="12"/>
    </row>
    <row r="323" spans="4:5" ht="13.5" customHeight="1" x14ac:dyDescent="0.2">
      <c r="D323" s="12"/>
      <c r="E323" s="12"/>
    </row>
    <row r="324" spans="4:5" ht="13.5" customHeight="1" x14ac:dyDescent="0.2">
      <c r="D324" s="12"/>
      <c r="E324" s="12"/>
    </row>
    <row r="325" spans="4:5" ht="13.5" customHeight="1" x14ac:dyDescent="0.2">
      <c r="D325" s="12"/>
      <c r="E325" s="12"/>
    </row>
    <row r="326" spans="4:5" ht="13.5" customHeight="1" x14ac:dyDescent="0.2">
      <c r="D326" s="12"/>
      <c r="E326" s="12"/>
    </row>
    <row r="327" spans="4:5" ht="13.5" customHeight="1" x14ac:dyDescent="0.2">
      <c r="D327" s="12"/>
      <c r="E327" s="12"/>
    </row>
    <row r="328" spans="4:5" ht="13.5" customHeight="1" x14ac:dyDescent="0.2">
      <c r="D328" s="12"/>
      <c r="E328" s="12"/>
    </row>
    <row r="329" spans="4:5" ht="13.5" customHeight="1" x14ac:dyDescent="0.2">
      <c r="D329" s="12"/>
      <c r="E329" s="12"/>
    </row>
    <row r="330" spans="4:5" ht="13.5" customHeight="1" x14ac:dyDescent="0.2">
      <c r="D330" s="12"/>
      <c r="E330" s="12"/>
    </row>
    <row r="331" spans="4:5" ht="13.5" customHeight="1" x14ac:dyDescent="0.2">
      <c r="D331" s="12"/>
      <c r="E331" s="12"/>
    </row>
    <row r="332" spans="4:5" ht="13.5" customHeight="1" x14ac:dyDescent="0.2">
      <c r="D332" s="12"/>
      <c r="E332" s="12"/>
    </row>
    <row r="333" spans="4:5" ht="13.5" customHeight="1" x14ac:dyDescent="0.2">
      <c r="D333" s="12"/>
      <c r="E333" s="12"/>
    </row>
    <row r="334" spans="4:5" ht="13.5" customHeight="1" x14ac:dyDescent="0.2">
      <c r="D334" s="12"/>
      <c r="E334" s="12"/>
    </row>
    <row r="335" spans="4:5" ht="13.5" customHeight="1" x14ac:dyDescent="0.2">
      <c r="D335" s="12"/>
      <c r="E335" s="12"/>
    </row>
    <row r="336" spans="4:5" ht="13.5" customHeight="1" x14ac:dyDescent="0.2">
      <c r="D336" s="12"/>
      <c r="E336" s="12"/>
    </row>
    <row r="337" spans="4:5" ht="13.5" customHeight="1" x14ac:dyDescent="0.2">
      <c r="D337" s="12"/>
      <c r="E337" s="12"/>
    </row>
    <row r="338" spans="4:5" ht="13.5" customHeight="1" x14ac:dyDescent="0.2">
      <c r="D338" s="12"/>
      <c r="E338" s="12"/>
    </row>
    <row r="339" spans="4:5" ht="13.5" customHeight="1" x14ac:dyDescent="0.2">
      <c r="D339" s="12"/>
      <c r="E339" s="12"/>
    </row>
    <row r="340" spans="4:5" ht="13.5" customHeight="1" x14ac:dyDescent="0.2">
      <c r="D340" s="12"/>
      <c r="E340" s="12"/>
    </row>
    <row r="341" spans="4:5" ht="13.5" customHeight="1" x14ac:dyDescent="0.2">
      <c r="D341" s="12"/>
      <c r="E341" s="12"/>
    </row>
    <row r="342" spans="4:5" ht="13.5" customHeight="1" x14ac:dyDescent="0.2">
      <c r="D342" s="12"/>
      <c r="E342" s="12"/>
    </row>
    <row r="343" spans="4:5" ht="13.5" customHeight="1" x14ac:dyDescent="0.2">
      <c r="D343" s="12"/>
      <c r="E343" s="12"/>
    </row>
    <row r="344" spans="4:5" ht="13.5" customHeight="1" x14ac:dyDescent="0.2">
      <c r="D344" s="12"/>
      <c r="E344" s="12"/>
    </row>
    <row r="345" spans="4:5" ht="13.5" customHeight="1" x14ac:dyDescent="0.2">
      <c r="D345" s="12"/>
      <c r="E345" s="12"/>
    </row>
    <row r="346" spans="4:5" ht="13.5" customHeight="1" x14ac:dyDescent="0.2">
      <c r="D346" s="12"/>
      <c r="E346" s="12"/>
    </row>
    <row r="347" spans="4:5" ht="13.5" customHeight="1" x14ac:dyDescent="0.2">
      <c r="D347" s="12"/>
      <c r="E347" s="12"/>
    </row>
    <row r="348" spans="4:5" ht="13.5" customHeight="1" x14ac:dyDescent="0.2">
      <c r="D348" s="12"/>
      <c r="E348" s="12"/>
    </row>
    <row r="349" spans="4:5" ht="13.5" customHeight="1" x14ac:dyDescent="0.2">
      <c r="D349" s="12"/>
      <c r="E349" s="12"/>
    </row>
    <row r="350" spans="4:5" ht="13.5" customHeight="1" x14ac:dyDescent="0.2">
      <c r="D350" s="12"/>
      <c r="E350" s="12"/>
    </row>
    <row r="351" spans="4:5" ht="13.5" customHeight="1" x14ac:dyDescent="0.2">
      <c r="D351" s="12"/>
      <c r="E351" s="12"/>
    </row>
    <row r="352" spans="4:5" ht="13.5" customHeight="1" x14ac:dyDescent="0.2">
      <c r="D352" s="12"/>
      <c r="E352" s="12"/>
    </row>
    <row r="353" spans="4:5" ht="13.5" customHeight="1" x14ac:dyDescent="0.2">
      <c r="D353" s="12"/>
      <c r="E353" s="12"/>
    </row>
    <row r="354" spans="4:5" ht="13.5" customHeight="1" x14ac:dyDescent="0.2">
      <c r="D354" s="12"/>
      <c r="E354" s="12"/>
    </row>
    <row r="355" spans="4:5" ht="13.5" customHeight="1" x14ac:dyDescent="0.2">
      <c r="D355" s="12"/>
      <c r="E355" s="12"/>
    </row>
    <row r="356" spans="4:5" ht="13.5" customHeight="1" x14ac:dyDescent="0.2">
      <c r="D356" s="12"/>
      <c r="E356" s="12"/>
    </row>
    <row r="357" spans="4:5" ht="13.5" customHeight="1" x14ac:dyDescent="0.2">
      <c r="D357" s="12"/>
      <c r="E357" s="12"/>
    </row>
    <row r="358" spans="4:5" ht="13.5" customHeight="1" x14ac:dyDescent="0.2">
      <c r="D358" s="12"/>
      <c r="E358" s="12"/>
    </row>
    <row r="359" spans="4:5" ht="13.5" customHeight="1" x14ac:dyDescent="0.2">
      <c r="D359" s="12"/>
      <c r="E359" s="12"/>
    </row>
    <row r="360" spans="4:5" ht="13.5" customHeight="1" x14ac:dyDescent="0.2">
      <c r="D360" s="12"/>
      <c r="E360" s="12"/>
    </row>
    <row r="361" spans="4:5" ht="13.5" customHeight="1" x14ac:dyDescent="0.2">
      <c r="D361" s="12"/>
      <c r="E361" s="12"/>
    </row>
    <row r="362" spans="4:5" ht="13.5" customHeight="1" x14ac:dyDescent="0.2">
      <c r="D362" s="12"/>
      <c r="E362" s="12"/>
    </row>
    <row r="363" spans="4:5" ht="13.5" customHeight="1" x14ac:dyDescent="0.2">
      <c r="D363" s="12"/>
      <c r="E363" s="12"/>
    </row>
    <row r="364" spans="4:5" ht="13.5" customHeight="1" x14ac:dyDescent="0.2">
      <c r="D364" s="12"/>
      <c r="E364" s="12"/>
    </row>
    <row r="365" spans="4:5" ht="13.5" customHeight="1" x14ac:dyDescent="0.2">
      <c r="D365" s="12"/>
      <c r="E365" s="12"/>
    </row>
    <row r="366" spans="4:5" ht="13.5" customHeight="1" x14ac:dyDescent="0.2">
      <c r="D366" s="12"/>
      <c r="E366" s="12"/>
    </row>
    <row r="367" spans="4:5" ht="13.5" customHeight="1" x14ac:dyDescent="0.2">
      <c r="D367" s="12"/>
      <c r="E367" s="12"/>
    </row>
    <row r="368" spans="4:5" ht="13.5" customHeight="1" x14ac:dyDescent="0.2">
      <c r="D368" s="12"/>
      <c r="E368" s="12"/>
    </row>
    <row r="369" spans="4:5" ht="13.5" customHeight="1" x14ac:dyDescent="0.2">
      <c r="D369" s="12"/>
      <c r="E369" s="12"/>
    </row>
    <row r="370" spans="4:5" ht="13.5" customHeight="1" x14ac:dyDescent="0.2">
      <c r="D370" s="12"/>
      <c r="E370" s="12"/>
    </row>
    <row r="371" spans="4:5" ht="13.5" customHeight="1" x14ac:dyDescent="0.2">
      <c r="D371" s="12"/>
      <c r="E371" s="12"/>
    </row>
    <row r="372" spans="4:5" ht="13.5" customHeight="1" x14ac:dyDescent="0.2">
      <c r="D372" s="12"/>
      <c r="E372" s="12"/>
    </row>
    <row r="373" spans="4:5" ht="13.5" customHeight="1" x14ac:dyDescent="0.2">
      <c r="D373" s="12"/>
      <c r="E373" s="12"/>
    </row>
    <row r="374" spans="4:5" ht="13.5" customHeight="1" x14ac:dyDescent="0.2">
      <c r="D374" s="12"/>
      <c r="E374" s="12"/>
    </row>
    <row r="375" spans="4:5" ht="13.5" customHeight="1" x14ac:dyDescent="0.2">
      <c r="D375" s="12"/>
      <c r="E375" s="12"/>
    </row>
    <row r="376" spans="4:5" ht="13.5" customHeight="1" x14ac:dyDescent="0.2">
      <c r="D376" s="12"/>
      <c r="E376" s="12"/>
    </row>
    <row r="377" spans="4:5" ht="13.5" customHeight="1" x14ac:dyDescent="0.2">
      <c r="D377" s="12"/>
      <c r="E377" s="12"/>
    </row>
    <row r="378" spans="4:5" ht="13.5" customHeight="1" x14ac:dyDescent="0.2">
      <c r="D378" s="12"/>
      <c r="E378" s="12"/>
    </row>
    <row r="379" spans="4:5" ht="13.5" customHeight="1" x14ac:dyDescent="0.2">
      <c r="D379" s="12"/>
      <c r="E379" s="12"/>
    </row>
    <row r="380" spans="4:5" ht="13.5" customHeight="1" x14ac:dyDescent="0.2">
      <c r="D380" s="12"/>
      <c r="E380" s="12"/>
    </row>
    <row r="381" spans="4:5" ht="13.5" customHeight="1" x14ac:dyDescent="0.2">
      <c r="D381" s="12"/>
      <c r="E381" s="12"/>
    </row>
    <row r="382" spans="4:5" ht="13.5" customHeight="1" x14ac:dyDescent="0.2">
      <c r="D382" s="12"/>
      <c r="E382" s="12"/>
    </row>
    <row r="383" spans="4:5" ht="13.5" customHeight="1" x14ac:dyDescent="0.2">
      <c r="D383" s="12"/>
      <c r="E383" s="12"/>
    </row>
    <row r="384" spans="4:5" ht="13.5" customHeight="1" x14ac:dyDescent="0.2">
      <c r="D384" s="12"/>
      <c r="E384" s="12"/>
    </row>
    <row r="385" spans="4:5" ht="13.5" customHeight="1" x14ac:dyDescent="0.2">
      <c r="D385" s="12"/>
      <c r="E385" s="12"/>
    </row>
    <row r="386" spans="4:5" ht="13.5" customHeight="1" x14ac:dyDescent="0.2">
      <c r="D386" s="12"/>
      <c r="E386" s="12"/>
    </row>
    <row r="387" spans="4:5" ht="13.5" customHeight="1" x14ac:dyDescent="0.2">
      <c r="D387" s="12"/>
      <c r="E387" s="12"/>
    </row>
    <row r="388" spans="4:5" ht="13.5" customHeight="1" x14ac:dyDescent="0.2">
      <c r="D388" s="12"/>
      <c r="E388" s="12"/>
    </row>
    <row r="389" spans="4:5" ht="13.5" customHeight="1" x14ac:dyDescent="0.2">
      <c r="D389" s="12"/>
      <c r="E389" s="12"/>
    </row>
    <row r="390" spans="4:5" ht="13.5" customHeight="1" x14ac:dyDescent="0.2">
      <c r="D390" s="12"/>
      <c r="E390" s="12"/>
    </row>
    <row r="391" spans="4:5" ht="13.5" customHeight="1" x14ac:dyDescent="0.2">
      <c r="D391" s="12"/>
      <c r="E391" s="12"/>
    </row>
    <row r="392" spans="4:5" ht="13.5" customHeight="1" x14ac:dyDescent="0.2">
      <c r="D392" s="12"/>
      <c r="E392" s="12"/>
    </row>
    <row r="393" spans="4:5" ht="13.5" customHeight="1" x14ac:dyDescent="0.2">
      <c r="D393" s="12"/>
      <c r="E393" s="12"/>
    </row>
    <row r="394" spans="4:5" ht="13.5" customHeight="1" x14ac:dyDescent="0.2">
      <c r="D394" s="12"/>
      <c r="E394" s="12"/>
    </row>
    <row r="395" spans="4:5" ht="13.5" customHeight="1" x14ac:dyDescent="0.2">
      <c r="D395" s="12"/>
      <c r="E395" s="12"/>
    </row>
    <row r="396" spans="4:5" ht="13.5" customHeight="1" x14ac:dyDescent="0.2">
      <c r="D396" s="12"/>
      <c r="E396" s="12"/>
    </row>
    <row r="397" spans="4:5" ht="13.5" customHeight="1" x14ac:dyDescent="0.2">
      <c r="D397" s="12"/>
      <c r="E397" s="12"/>
    </row>
    <row r="398" spans="4:5" ht="13.5" customHeight="1" x14ac:dyDescent="0.2">
      <c r="D398" s="12"/>
      <c r="E398" s="12"/>
    </row>
    <row r="399" spans="4:5" ht="13.5" customHeight="1" x14ac:dyDescent="0.2">
      <c r="D399" s="12"/>
      <c r="E399" s="12"/>
    </row>
    <row r="400" spans="4:5" ht="13.5" customHeight="1" x14ac:dyDescent="0.2">
      <c r="D400" s="12"/>
      <c r="E400" s="12"/>
    </row>
    <row r="401" spans="4:5" ht="13.5" customHeight="1" x14ac:dyDescent="0.2">
      <c r="D401" s="12"/>
      <c r="E401" s="12"/>
    </row>
    <row r="402" spans="4:5" ht="13.5" customHeight="1" x14ac:dyDescent="0.2">
      <c r="D402" s="12"/>
      <c r="E402" s="12"/>
    </row>
    <row r="403" spans="4:5" ht="13.5" customHeight="1" x14ac:dyDescent="0.2">
      <c r="D403" s="12"/>
      <c r="E403" s="12"/>
    </row>
    <row r="404" spans="4:5" ht="13.5" customHeight="1" x14ac:dyDescent="0.2">
      <c r="D404" s="12"/>
      <c r="E404" s="12"/>
    </row>
    <row r="405" spans="4:5" ht="13.5" customHeight="1" x14ac:dyDescent="0.2">
      <c r="D405" s="12"/>
      <c r="E405" s="12"/>
    </row>
    <row r="406" spans="4:5" ht="13.5" customHeight="1" x14ac:dyDescent="0.2">
      <c r="D406" s="12"/>
      <c r="E406" s="12"/>
    </row>
    <row r="407" spans="4:5" ht="13.5" customHeight="1" x14ac:dyDescent="0.2">
      <c r="D407" s="12"/>
      <c r="E407" s="12"/>
    </row>
    <row r="408" spans="4:5" ht="13.5" customHeight="1" x14ac:dyDescent="0.2">
      <c r="D408" s="12"/>
      <c r="E408" s="12"/>
    </row>
    <row r="409" spans="4:5" ht="13.5" customHeight="1" x14ac:dyDescent="0.2">
      <c r="D409" s="12"/>
      <c r="E409" s="12"/>
    </row>
    <row r="410" spans="4:5" ht="13.5" customHeight="1" x14ac:dyDescent="0.2">
      <c r="D410" s="12"/>
      <c r="E410" s="12"/>
    </row>
    <row r="411" spans="4:5" ht="13.5" customHeight="1" x14ac:dyDescent="0.2">
      <c r="D411" s="12"/>
      <c r="E411" s="12"/>
    </row>
    <row r="412" spans="4:5" ht="13.5" customHeight="1" x14ac:dyDescent="0.2">
      <c r="D412" s="12"/>
      <c r="E412" s="12"/>
    </row>
    <row r="413" spans="4:5" ht="13.5" customHeight="1" x14ac:dyDescent="0.2">
      <c r="D413" s="12"/>
      <c r="E413" s="12"/>
    </row>
    <row r="414" spans="4:5" ht="13.5" customHeight="1" x14ac:dyDescent="0.2">
      <c r="D414" s="12"/>
      <c r="E414" s="12"/>
    </row>
    <row r="415" spans="4:5" ht="13.5" customHeight="1" x14ac:dyDescent="0.2">
      <c r="D415" s="12"/>
      <c r="E415" s="12"/>
    </row>
    <row r="416" spans="4:5" ht="13.5" customHeight="1" x14ac:dyDescent="0.2">
      <c r="D416" s="12"/>
      <c r="E416" s="12"/>
    </row>
    <row r="417" spans="4:5" ht="13.5" customHeight="1" x14ac:dyDescent="0.2">
      <c r="D417" s="12"/>
      <c r="E417" s="12"/>
    </row>
    <row r="418" spans="4:5" ht="13.5" customHeight="1" x14ac:dyDescent="0.2">
      <c r="D418" s="12"/>
      <c r="E418" s="12"/>
    </row>
    <row r="419" spans="4:5" ht="13.5" customHeight="1" x14ac:dyDescent="0.2">
      <c r="D419" s="12"/>
      <c r="E419" s="12"/>
    </row>
    <row r="420" spans="4:5" ht="13.5" customHeight="1" x14ac:dyDescent="0.2">
      <c r="D420" s="12"/>
      <c r="E420" s="12"/>
    </row>
    <row r="421" spans="4:5" ht="13.5" customHeight="1" x14ac:dyDescent="0.2">
      <c r="D421" s="12"/>
      <c r="E421" s="12"/>
    </row>
    <row r="422" spans="4:5" ht="13.5" customHeight="1" x14ac:dyDescent="0.2">
      <c r="D422" s="12"/>
      <c r="E422" s="12"/>
    </row>
    <row r="423" spans="4:5" ht="13.5" customHeight="1" x14ac:dyDescent="0.2">
      <c r="D423" s="12"/>
      <c r="E423" s="12"/>
    </row>
    <row r="424" spans="4:5" ht="13.5" customHeight="1" x14ac:dyDescent="0.2">
      <c r="D424" s="12"/>
      <c r="E424" s="12"/>
    </row>
    <row r="425" spans="4:5" ht="13.5" customHeight="1" x14ac:dyDescent="0.2">
      <c r="D425" s="12"/>
      <c r="E425" s="12"/>
    </row>
    <row r="426" spans="4:5" ht="13.5" customHeight="1" x14ac:dyDescent="0.2">
      <c r="D426" s="12"/>
      <c r="E426" s="12"/>
    </row>
    <row r="427" spans="4:5" ht="13.5" customHeight="1" x14ac:dyDescent="0.2">
      <c r="D427" s="12"/>
      <c r="E427" s="12"/>
    </row>
    <row r="428" spans="4:5" ht="13.5" customHeight="1" x14ac:dyDescent="0.2">
      <c r="D428" s="12"/>
      <c r="E428" s="12"/>
    </row>
    <row r="429" spans="4:5" ht="13.5" customHeight="1" x14ac:dyDescent="0.2">
      <c r="D429" s="12"/>
      <c r="E429" s="12"/>
    </row>
    <row r="430" spans="4:5" ht="13.5" customHeight="1" x14ac:dyDescent="0.2">
      <c r="D430" s="12"/>
      <c r="E430" s="12"/>
    </row>
    <row r="431" spans="4:5" ht="13.5" customHeight="1" x14ac:dyDescent="0.2">
      <c r="D431" s="12"/>
      <c r="E431" s="12"/>
    </row>
    <row r="432" spans="4:5" ht="13.5" customHeight="1" x14ac:dyDescent="0.2">
      <c r="D432" s="12"/>
      <c r="E432" s="12"/>
    </row>
    <row r="433" spans="4:5" ht="13.5" customHeight="1" x14ac:dyDescent="0.2">
      <c r="D433" s="12"/>
      <c r="E433" s="12"/>
    </row>
    <row r="434" spans="4:5" ht="13.5" customHeight="1" x14ac:dyDescent="0.2">
      <c r="D434" s="12"/>
      <c r="E434" s="12"/>
    </row>
    <row r="435" spans="4:5" ht="13.5" customHeight="1" x14ac:dyDescent="0.2">
      <c r="D435" s="12"/>
      <c r="E435" s="12"/>
    </row>
    <row r="436" spans="4:5" ht="13.5" customHeight="1" x14ac:dyDescent="0.2">
      <c r="D436" s="12"/>
      <c r="E436" s="12"/>
    </row>
    <row r="437" spans="4:5" ht="13.5" customHeight="1" x14ac:dyDescent="0.2">
      <c r="D437" s="12"/>
      <c r="E437" s="12"/>
    </row>
    <row r="438" spans="4:5" ht="13.5" customHeight="1" x14ac:dyDescent="0.2">
      <c r="D438" s="12"/>
      <c r="E438" s="12"/>
    </row>
    <row r="439" spans="4:5" ht="13.5" customHeight="1" x14ac:dyDescent="0.2">
      <c r="D439" s="12"/>
      <c r="E439" s="12"/>
    </row>
    <row r="440" spans="4:5" ht="13.5" customHeight="1" x14ac:dyDescent="0.2">
      <c r="D440" s="12"/>
      <c r="E440" s="12"/>
    </row>
    <row r="441" spans="4:5" ht="13.5" customHeight="1" x14ac:dyDescent="0.2">
      <c r="D441" s="12"/>
      <c r="E441" s="12"/>
    </row>
    <row r="442" spans="4:5" ht="13.5" customHeight="1" x14ac:dyDescent="0.2">
      <c r="D442" s="12"/>
      <c r="E442" s="12"/>
    </row>
    <row r="443" spans="4:5" ht="13.5" customHeight="1" x14ac:dyDescent="0.2">
      <c r="D443" s="12"/>
      <c r="E443" s="12"/>
    </row>
    <row r="444" spans="4:5" ht="13.5" customHeight="1" x14ac:dyDescent="0.2">
      <c r="D444" s="12"/>
      <c r="E444" s="12"/>
    </row>
    <row r="445" spans="4:5" ht="13.5" customHeight="1" x14ac:dyDescent="0.2">
      <c r="D445" s="12"/>
      <c r="E445" s="12"/>
    </row>
    <row r="446" spans="4:5" ht="13.5" customHeight="1" x14ac:dyDescent="0.2">
      <c r="D446" s="12"/>
      <c r="E446" s="12"/>
    </row>
    <row r="447" spans="4:5" ht="13.5" customHeight="1" x14ac:dyDescent="0.2">
      <c r="D447" s="12"/>
      <c r="E447" s="12"/>
    </row>
    <row r="448" spans="4:5" ht="13.5" customHeight="1" x14ac:dyDescent="0.2">
      <c r="D448" s="12"/>
      <c r="E448" s="12"/>
    </row>
    <row r="449" spans="4:5" ht="13.5" customHeight="1" x14ac:dyDescent="0.2">
      <c r="D449" s="12"/>
      <c r="E449" s="12"/>
    </row>
    <row r="450" spans="4:5" ht="13.5" customHeight="1" x14ac:dyDescent="0.2">
      <c r="D450" s="12"/>
      <c r="E450" s="12"/>
    </row>
    <row r="451" spans="4:5" ht="13.5" customHeight="1" x14ac:dyDescent="0.2">
      <c r="D451" s="12"/>
      <c r="E451" s="12"/>
    </row>
    <row r="452" spans="4:5" ht="13.5" customHeight="1" x14ac:dyDescent="0.2">
      <c r="D452" s="12"/>
      <c r="E452" s="12"/>
    </row>
    <row r="453" spans="4:5" ht="13.5" customHeight="1" x14ac:dyDescent="0.2">
      <c r="D453" s="12"/>
      <c r="E453" s="12"/>
    </row>
    <row r="454" spans="4:5" ht="13.5" customHeight="1" x14ac:dyDescent="0.2">
      <c r="D454" s="12"/>
      <c r="E454" s="12"/>
    </row>
    <row r="455" spans="4:5" ht="13.5" customHeight="1" x14ac:dyDescent="0.2">
      <c r="D455" s="12"/>
      <c r="E455" s="12"/>
    </row>
    <row r="456" spans="4:5" ht="13.5" customHeight="1" x14ac:dyDescent="0.2">
      <c r="D456" s="12"/>
      <c r="E456" s="12"/>
    </row>
    <row r="457" spans="4:5" ht="13.5" customHeight="1" x14ac:dyDescent="0.2">
      <c r="D457" s="12"/>
      <c r="E457" s="12"/>
    </row>
    <row r="458" spans="4:5" ht="13.5" customHeight="1" x14ac:dyDescent="0.2">
      <c r="D458" s="12"/>
      <c r="E458" s="12"/>
    </row>
    <row r="459" spans="4:5" ht="13.5" customHeight="1" x14ac:dyDescent="0.2">
      <c r="D459" s="12"/>
      <c r="E459" s="12"/>
    </row>
    <row r="460" spans="4:5" ht="13.5" customHeight="1" x14ac:dyDescent="0.2">
      <c r="D460" s="12"/>
      <c r="E460" s="12"/>
    </row>
    <row r="461" spans="4:5" ht="13.5" customHeight="1" x14ac:dyDescent="0.2">
      <c r="D461" s="12"/>
      <c r="E461" s="12"/>
    </row>
    <row r="462" spans="4:5" ht="13.5" customHeight="1" x14ac:dyDescent="0.2">
      <c r="D462" s="12"/>
      <c r="E462" s="12"/>
    </row>
    <row r="463" spans="4:5" ht="13.5" customHeight="1" x14ac:dyDescent="0.2">
      <c r="D463" s="12"/>
      <c r="E463" s="12"/>
    </row>
    <row r="464" spans="4:5" ht="13.5" customHeight="1" x14ac:dyDescent="0.2">
      <c r="D464" s="12"/>
      <c r="E464" s="12"/>
    </row>
    <row r="465" spans="4:5" ht="13.5" customHeight="1" x14ac:dyDescent="0.2">
      <c r="D465" s="12"/>
      <c r="E465" s="12"/>
    </row>
    <row r="466" spans="4:5" ht="13.5" customHeight="1" x14ac:dyDescent="0.2">
      <c r="D466" s="12"/>
      <c r="E466" s="12"/>
    </row>
    <row r="467" spans="4:5" ht="13.5" customHeight="1" x14ac:dyDescent="0.2">
      <c r="D467" s="12"/>
      <c r="E467" s="12"/>
    </row>
    <row r="468" spans="4:5" ht="13.5" customHeight="1" x14ac:dyDescent="0.2">
      <c r="D468" s="12"/>
      <c r="E468" s="12"/>
    </row>
    <row r="469" spans="4:5" ht="13.5" customHeight="1" x14ac:dyDescent="0.2">
      <c r="D469" s="12"/>
      <c r="E469" s="12"/>
    </row>
    <row r="470" spans="4:5" ht="13.5" customHeight="1" x14ac:dyDescent="0.2">
      <c r="D470" s="12"/>
      <c r="E470" s="12"/>
    </row>
    <row r="471" spans="4:5" ht="13.5" customHeight="1" x14ac:dyDescent="0.2">
      <c r="D471" s="12"/>
      <c r="E471" s="12"/>
    </row>
    <row r="472" spans="4:5" ht="13.5" customHeight="1" x14ac:dyDescent="0.2">
      <c r="D472" s="12"/>
      <c r="E472" s="12"/>
    </row>
    <row r="473" spans="4:5" ht="13.5" customHeight="1" x14ac:dyDescent="0.2">
      <c r="D473" s="12"/>
      <c r="E473" s="12"/>
    </row>
    <row r="474" spans="4:5" ht="13.5" customHeight="1" x14ac:dyDescent="0.2">
      <c r="D474" s="12"/>
      <c r="E474" s="12"/>
    </row>
    <row r="475" spans="4:5" ht="13.5" customHeight="1" x14ac:dyDescent="0.2">
      <c r="D475" s="12"/>
      <c r="E475" s="12"/>
    </row>
    <row r="476" spans="4:5" ht="13.5" customHeight="1" x14ac:dyDescent="0.2">
      <c r="D476" s="12"/>
      <c r="E476" s="12"/>
    </row>
    <row r="477" spans="4:5" ht="13.5" customHeight="1" x14ac:dyDescent="0.2">
      <c r="D477" s="12"/>
      <c r="E477" s="12"/>
    </row>
    <row r="478" spans="4:5" ht="13.5" customHeight="1" x14ac:dyDescent="0.2">
      <c r="D478" s="12"/>
      <c r="E478" s="12"/>
    </row>
    <row r="479" spans="4:5" ht="13.5" customHeight="1" x14ac:dyDescent="0.2">
      <c r="D479" s="12"/>
      <c r="E479" s="12"/>
    </row>
    <row r="480" spans="4:5" ht="13.5" customHeight="1" x14ac:dyDescent="0.2">
      <c r="D480" s="12"/>
      <c r="E480" s="12"/>
    </row>
    <row r="481" spans="4:5" ht="13.5" customHeight="1" x14ac:dyDescent="0.2">
      <c r="D481" s="12"/>
      <c r="E481" s="12"/>
    </row>
    <row r="482" spans="4:5" ht="13.5" customHeight="1" x14ac:dyDescent="0.2">
      <c r="D482" s="12"/>
      <c r="E482" s="12"/>
    </row>
    <row r="483" spans="4:5" ht="13.5" customHeight="1" x14ac:dyDescent="0.2">
      <c r="D483" s="12"/>
      <c r="E483" s="12"/>
    </row>
    <row r="484" spans="4:5" ht="13.5" customHeight="1" x14ac:dyDescent="0.2">
      <c r="D484" s="12"/>
      <c r="E484" s="12"/>
    </row>
    <row r="485" spans="4:5" ht="13.5" customHeight="1" x14ac:dyDescent="0.2">
      <c r="D485" s="12"/>
      <c r="E485" s="12"/>
    </row>
    <row r="486" spans="4:5" ht="13.5" customHeight="1" x14ac:dyDescent="0.2">
      <c r="D486" s="12"/>
      <c r="E486" s="12"/>
    </row>
    <row r="487" spans="4:5" ht="13.5" customHeight="1" x14ac:dyDescent="0.2">
      <c r="D487" s="12"/>
      <c r="E487" s="12"/>
    </row>
    <row r="488" spans="4:5" ht="13.5" customHeight="1" x14ac:dyDescent="0.2">
      <c r="D488" s="12"/>
      <c r="E488" s="12"/>
    </row>
    <row r="489" spans="4:5" ht="13.5" customHeight="1" x14ac:dyDescent="0.2">
      <c r="D489" s="12"/>
      <c r="E489" s="12"/>
    </row>
    <row r="490" spans="4:5" ht="13.5" customHeight="1" x14ac:dyDescent="0.2">
      <c r="D490" s="12"/>
      <c r="E490" s="12"/>
    </row>
    <row r="491" spans="4:5" ht="13.5" customHeight="1" x14ac:dyDescent="0.2">
      <c r="D491" s="12"/>
      <c r="E491" s="12"/>
    </row>
    <row r="492" spans="4:5" ht="13.5" customHeight="1" x14ac:dyDescent="0.2">
      <c r="D492" s="12"/>
      <c r="E492" s="12"/>
    </row>
    <row r="493" spans="4:5" ht="13.5" customHeight="1" x14ac:dyDescent="0.2">
      <c r="D493" s="12"/>
      <c r="E493" s="12"/>
    </row>
    <row r="494" spans="4:5" ht="13.5" customHeight="1" x14ac:dyDescent="0.2">
      <c r="D494" s="12"/>
      <c r="E494" s="12"/>
    </row>
    <row r="495" spans="4:5" ht="13.5" customHeight="1" x14ac:dyDescent="0.2">
      <c r="D495" s="12"/>
      <c r="E495" s="12"/>
    </row>
    <row r="496" spans="4:5" ht="13.5" customHeight="1" x14ac:dyDescent="0.2">
      <c r="D496" s="12"/>
      <c r="E496" s="12"/>
    </row>
    <row r="497" spans="4:5" ht="13.5" customHeight="1" x14ac:dyDescent="0.2">
      <c r="D497" s="12"/>
      <c r="E497" s="12"/>
    </row>
    <row r="498" spans="4:5" ht="13.5" customHeight="1" x14ac:dyDescent="0.2">
      <c r="D498" s="12"/>
      <c r="E498" s="12"/>
    </row>
    <row r="499" spans="4:5" ht="13.5" customHeight="1" x14ac:dyDescent="0.2">
      <c r="D499" s="12"/>
      <c r="E499" s="12"/>
    </row>
    <row r="500" spans="4:5" ht="13.5" customHeight="1" x14ac:dyDescent="0.2">
      <c r="D500" s="12"/>
      <c r="E500" s="12"/>
    </row>
    <row r="501" spans="4:5" ht="13.5" customHeight="1" x14ac:dyDescent="0.2">
      <c r="D501" s="12"/>
      <c r="E501" s="12"/>
    </row>
    <row r="502" spans="4:5" ht="13.5" customHeight="1" x14ac:dyDescent="0.2">
      <c r="D502" s="12"/>
      <c r="E502" s="12"/>
    </row>
    <row r="503" spans="4:5" ht="13.5" customHeight="1" x14ac:dyDescent="0.2">
      <c r="D503" s="12"/>
      <c r="E503" s="12"/>
    </row>
    <row r="504" spans="4:5" ht="13.5" customHeight="1" x14ac:dyDescent="0.2">
      <c r="D504" s="12"/>
      <c r="E504" s="12"/>
    </row>
    <row r="505" spans="4:5" ht="13.5" customHeight="1" x14ac:dyDescent="0.2">
      <c r="D505" s="12"/>
      <c r="E505" s="12"/>
    </row>
    <row r="506" spans="4:5" ht="13.5" customHeight="1" x14ac:dyDescent="0.2">
      <c r="D506" s="12"/>
      <c r="E506" s="12"/>
    </row>
    <row r="507" spans="4:5" ht="13.5" customHeight="1" x14ac:dyDescent="0.2">
      <c r="D507" s="12"/>
      <c r="E507" s="12"/>
    </row>
    <row r="508" spans="4:5" ht="13.5" customHeight="1" x14ac:dyDescent="0.2">
      <c r="D508" s="12"/>
      <c r="E508" s="12"/>
    </row>
    <row r="509" spans="4:5" ht="13.5" customHeight="1" x14ac:dyDescent="0.2">
      <c r="D509" s="12"/>
      <c r="E509" s="12"/>
    </row>
    <row r="510" spans="4:5" ht="13.5" customHeight="1" x14ac:dyDescent="0.2">
      <c r="D510" s="12"/>
      <c r="E510" s="12"/>
    </row>
    <row r="511" spans="4:5" ht="13.5" customHeight="1" x14ac:dyDescent="0.2">
      <c r="D511" s="12"/>
      <c r="E511" s="12"/>
    </row>
    <row r="512" spans="4:5" ht="13.5" customHeight="1" x14ac:dyDescent="0.2">
      <c r="D512" s="12"/>
      <c r="E512" s="12"/>
    </row>
    <row r="513" spans="4:5" ht="13.5" customHeight="1" x14ac:dyDescent="0.2">
      <c r="D513" s="12"/>
      <c r="E513" s="12"/>
    </row>
    <row r="514" spans="4:5" ht="13.5" customHeight="1" x14ac:dyDescent="0.2">
      <c r="D514" s="12"/>
      <c r="E514" s="12"/>
    </row>
    <row r="515" spans="4:5" ht="13.5" customHeight="1" x14ac:dyDescent="0.2">
      <c r="D515" s="12"/>
      <c r="E515" s="12"/>
    </row>
    <row r="516" spans="4:5" ht="13.5" customHeight="1" x14ac:dyDescent="0.2">
      <c r="D516" s="12"/>
      <c r="E516" s="12"/>
    </row>
    <row r="517" spans="4:5" ht="13.5" customHeight="1" x14ac:dyDescent="0.2">
      <c r="D517" s="12"/>
      <c r="E517" s="12"/>
    </row>
    <row r="518" spans="4:5" ht="13.5" customHeight="1" x14ac:dyDescent="0.2">
      <c r="D518" s="12"/>
      <c r="E518" s="12"/>
    </row>
    <row r="519" spans="4:5" ht="13.5" customHeight="1" x14ac:dyDescent="0.2">
      <c r="D519" s="12"/>
      <c r="E519" s="12"/>
    </row>
    <row r="520" spans="4:5" ht="13.5" customHeight="1" x14ac:dyDescent="0.2">
      <c r="D520" s="12"/>
      <c r="E520" s="12"/>
    </row>
    <row r="521" spans="4:5" ht="13.5" customHeight="1" x14ac:dyDescent="0.2">
      <c r="D521" s="12"/>
      <c r="E521" s="12"/>
    </row>
    <row r="522" spans="4:5" ht="13.5" customHeight="1" x14ac:dyDescent="0.2">
      <c r="D522" s="12"/>
      <c r="E522" s="12"/>
    </row>
    <row r="523" spans="4:5" ht="13.5" customHeight="1" x14ac:dyDescent="0.2">
      <c r="D523" s="12"/>
      <c r="E523" s="12"/>
    </row>
    <row r="524" spans="4:5" ht="13.5" customHeight="1" x14ac:dyDescent="0.2">
      <c r="D524" s="12"/>
      <c r="E524" s="12"/>
    </row>
    <row r="525" spans="4:5" ht="13.5" customHeight="1" x14ac:dyDescent="0.2">
      <c r="D525" s="12"/>
      <c r="E525" s="12"/>
    </row>
    <row r="526" spans="4:5" ht="13.5" customHeight="1" x14ac:dyDescent="0.2">
      <c r="D526" s="12"/>
      <c r="E526" s="12"/>
    </row>
    <row r="527" spans="4:5" ht="13.5" customHeight="1" x14ac:dyDescent="0.2">
      <c r="D527" s="12"/>
      <c r="E527" s="12"/>
    </row>
    <row r="528" spans="4:5" ht="13.5" customHeight="1" x14ac:dyDescent="0.2">
      <c r="D528" s="12"/>
      <c r="E528" s="12"/>
    </row>
    <row r="529" spans="4:5" ht="13.5" customHeight="1" x14ac:dyDescent="0.2">
      <c r="D529" s="12"/>
      <c r="E529" s="12"/>
    </row>
    <row r="530" spans="4:5" ht="13.5" customHeight="1" x14ac:dyDescent="0.2">
      <c r="D530" s="12"/>
      <c r="E530" s="12"/>
    </row>
    <row r="531" spans="4:5" ht="13.5" customHeight="1" x14ac:dyDescent="0.2">
      <c r="D531" s="12"/>
      <c r="E531" s="12"/>
    </row>
    <row r="532" spans="4:5" ht="13.5" customHeight="1" x14ac:dyDescent="0.2">
      <c r="D532" s="12"/>
      <c r="E532" s="12"/>
    </row>
    <row r="533" spans="4:5" ht="13.5" customHeight="1" x14ac:dyDescent="0.2">
      <c r="D533" s="12"/>
      <c r="E533" s="12"/>
    </row>
    <row r="534" spans="4:5" ht="13.5" customHeight="1" x14ac:dyDescent="0.2">
      <c r="D534" s="12"/>
      <c r="E534" s="12"/>
    </row>
    <row r="535" spans="4:5" ht="13.5" customHeight="1" x14ac:dyDescent="0.2">
      <c r="D535" s="12"/>
      <c r="E535" s="12"/>
    </row>
    <row r="536" spans="4:5" ht="13.5" customHeight="1" x14ac:dyDescent="0.2">
      <c r="D536" s="12"/>
      <c r="E536" s="12"/>
    </row>
    <row r="537" spans="4:5" ht="13.5" customHeight="1" x14ac:dyDescent="0.2">
      <c r="D537" s="12"/>
      <c r="E537" s="12"/>
    </row>
    <row r="538" spans="4:5" ht="13.5" customHeight="1" x14ac:dyDescent="0.2">
      <c r="D538" s="12"/>
      <c r="E538" s="12"/>
    </row>
    <row r="539" spans="4:5" ht="13.5" customHeight="1" x14ac:dyDescent="0.2">
      <c r="D539" s="12"/>
      <c r="E539" s="12"/>
    </row>
    <row r="540" spans="4:5" ht="13.5" customHeight="1" x14ac:dyDescent="0.2">
      <c r="D540" s="12"/>
      <c r="E540" s="12"/>
    </row>
    <row r="541" spans="4:5" ht="13.5" customHeight="1" x14ac:dyDescent="0.2">
      <c r="D541" s="12"/>
      <c r="E541" s="12"/>
    </row>
    <row r="542" spans="4:5" ht="13.5" customHeight="1" x14ac:dyDescent="0.2">
      <c r="D542" s="12"/>
      <c r="E542" s="12"/>
    </row>
    <row r="543" spans="4:5" ht="13.5" customHeight="1" x14ac:dyDescent="0.2">
      <c r="D543" s="12"/>
      <c r="E543" s="12"/>
    </row>
    <row r="544" spans="4:5" ht="13.5" customHeight="1" x14ac:dyDescent="0.2">
      <c r="D544" s="12"/>
      <c r="E544" s="12"/>
    </row>
    <row r="545" spans="4:5" ht="13.5" customHeight="1" x14ac:dyDescent="0.2">
      <c r="D545" s="12"/>
      <c r="E545" s="12"/>
    </row>
    <row r="546" spans="4:5" ht="13.5" customHeight="1" x14ac:dyDescent="0.2">
      <c r="D546" s="12"/>
      <c r="E546" s="12"/>
    </row>
    <row r="547" spans="4:5" ht="13.5" customHeight="1" x14ac:dyDescent="0.2">
      <c r="D547" s="12"/>
      <c r="E547" s="12"/>
    </row>
    <row r="548" spans="4:5" ht="13.5" customHeight="1" x14ac:dyDescent="0.2">
      <c r="D548" s="12"/>
      <c r="E548" s="12"/>
    </row>
    <row r="549" spans="4:5" ht="13.5" customHeight="1" x14ac:dyDescent="0.2">
      <c r="D549" s="12"/>
      <c r="E549" s="12"/>
    </row>
    <row r="550" spans="4:5" ht="13.5" customHeight="1" x14ac:dyDescent="0.2">
      <c r="D550" s="12"/>
      <c r="E550" s="12"/>
    </row>
    <row r="551" spans="4:5" ht="13.5" customHeight="1" x14ac:dyDescent="0.2">
      <c r="D551" s="12"/>
      <c r="E551" s="12"/>
    </row>
    <row r="552" spans="4:5" ht="13.5" customHeight="1" x14ac:dyDescent="0.2">
      <c r="D552" s="12"/>
      <c r="E552" s="12"/>
    </row>
    <row r="553" spans="4:5" ht="13.5" customHeight="1" x14ac:dyDescent="0.2">
      <c r="D553" s="12"/>
      <c r="E553" s="12"/>
    </row>
    <row r="554" spans="4:5" ht="13.5" customHeight="1" x14ac:dyDescent="0.2">
      <c r="D554" s="12"/>
      <c r="E554" s="12"/>
    </row>
    <row r="555" spans="4:5" ht="13.5" customHeight="1" x14ac:dyDescent="0.2">
      <c r="D555" s="12"/>
      <c r="E555" s="12"/>
    </row>
    <row r="556" spans="4:5" ht="13.5" customHeight="1" x14ac:dyDescent="0.2">
      <c r="D556" s="12"/>
      <c r="E556" s="12"/>
    </row>
    <row r="557" spans="4:5" ht="13.5" customHeight="1" x14ac:dyDescent="0.2">
      <c r="D557" s="12"/>
      <c r="E557" s="12"/>
    </row>
    <row r="558" spans="4:5" ht="13.5" customHeight="1" x14ac:dyDescent="0.2">
      <c r="D558" s="12"/>
      <c r="E558" s="12"/>
    </row>
    <row r="559" spans="4:5" ht="13.5" customHeight="1" x14ac:dyDescent="0.2">
      <c r="D559" s="12"/>
      <c r="E559" s="12"/>
    </row>
    <row r="560" spans="4:5" ht="13.5" customHeight="1" x14ac:dyDescent="0.2">
      <c r="D560" s="12"/>
      <c r="E560" s="12"/>
    </row>
    <row r="561" spans="4:5" ht="13.5" customHeight="1" x14ac:dyDescent="0.2">
      <c r="D561" s="12"/>
      <c r="E561" s="12"/>
    </row>
    <row r="562" spans="4:5" ht="13.5" customHeight="1" x14ac:dyDescent="0.2">
      <c r="D562" s="12"/>
      <c r="E562" s="12"/>
    </row>
    <row r="563" spans="4:5" ht="13.5" customHeight="1" x14ac:dyDescent="0.2">
      <c r="D563" s="12"/>
      <c r="E563" s="12"/>
    </row>
    <row r="564" spans="4:5" ht="13.5" customHeight="1" x14ac:dyDescent="0.2">
      <c r="D564" s="12"/>
      <c r="E564" s="12"/>
    </row>
    <row r="565" spans="4:5" ht="13.5" customHeight="1" x14ac:dyDescent="0.2">
      <c r="D565" s="12"/>
      <c r="E565" s="12"/>
    </row>
    <row r="566" spans="4:5" ht="13.5" customHeight="1" x14ac:dyDescent="0.2">
      <c r="D566" s="12"/>
      <c r="E566" s="12"/>
    </row>
    <row r="567" spans="4:5" ht="13.5" customHeight="1" x14ac:dyDescent="0.2">
      <c r="D567" s="12"/>
      <c r="E567" s="12"/>
    </row>
    <row r="568" spans="4:5" ht="13.5" customHeight="1" x14ac:dyDescent="0.2">
      <c r="D568" s="12"/>
      <c r="E568" s="12"/>
    </row>
    <row r="569" spans="4:5" ht="13.5" customHeight="1" x14ac:dyDescent="0.2">
      <c r="D569" s="12"/>
      <c r="E569" s="12"/>
    </row>
    <row r="570" spans="4:5" ht="13.5" customHeight="1" x14ac:dyDescent="0.2">
      <c r="D570" s="12"/>
      <c r="E570" s="12"/>
    </row>
    <row r="571" spans="4:5" ht="13.5" customHeight="1" x14ac:dyDescent="0.2">
      <c r="D571" s="12"/>
      <c r="E571" s="12"/>
    </row>
    <row r="572" spans="4:5" ht="13.5" customHeight="1" x14ac:dyDescent="0.2">
      <c r="D572" s="12"/>
      <c r="E572" s="12"/>
    </row>
    <row r="573" spans="4:5" ht="13.5" customHeight="1" x14ac:dyDescent="0.2">
      <c r="D573" s="12"/>
      <c r="E573" s="12"/>
    </row>
    <row r="574" spans="4:5" ht="13.5" customHeight="1" x14ac:dyDescent="0.2">
      <c r="D574" s="12"/>
      <c r="E574" s="12"/>
    </row>
    <row r="575" spans="4:5" ht="13.5" customHeight="1" x14ac:dyDescent="0.2">
      <c r="D575" s="12"/>
      <c r="E575" s="12"/>
    </row>
    <row r="576" spans="4:5" ht="13.5" customHeight="1" x14ac:dyDescent="0.2">
      <c r="D576" s="12"/>
      <c r="E576" s="12"/>
    </row>
    <row r="577" spans="4:5" ht="13.5" customHeight="1" x14ac:dyDescent="0.2">
      <c r="D577" s="12"/>
      <c r="E577" s="12"/>
    </row>
    <row r="578" spans="4:5" ht="13.5" customHeight="1" x14ac:dyDescent="0.2">
      <c r="D578" s="12"/>
      <c r="E578" s="12"/>
    </row>
    <row r="579" spans="4:5" ht="13.5" customHeight="1" x14ac:dyDescent="0.2">
      <c r="D579" s="12"/>
      <c r="E579" s="12"/>
    </row>
    <row r="580" spans="4:5" ht="13.5" customHeight="1" x14ac:dyDescent="0.2">
      <c r="D580" s="12"/>
      <c r="E580" s="12"/>
    </row>
    <row r="581" spans="4:5" ht="13.5" customHeight="1" x14ac:dyDescent="0.2">
      <c r="D581" s="12"/>
      <c r="E581" s="12"/>
    </row>
    <row r="582" spans="4:5" ht="13.5" customHeight="1" x14ac:dyDescent="0.2">
      <c r="D582" s="12"/>
      <c r="E582" s="12"/>
    </row>
    <row r="583" spans="4:5" ht="13.5" customHeight="1" x14ac:dyDescent="0.2">
      <c r="D583" s="12"/>
      <c r="E583" s="12"/>
    </row>
    <row r="584" spans="4:5" ht="13.5" customHeight="1" x14ac:dyDescent="0.2">
      <c r="D584" s="12"/>
      <c r="E584" s="12"/>
    </row>
    <row r="585" spans="4:5" ht="13.5" customHeight="1" x14ac:dyDescent="0.2">
      <c r="D585" s="12"/>
      <c r="E585" s="12"/>
    </row>
    <row r="586" spans="4:5" ht="13.5" customHeight="1" x14ac:dyDescent="0.2">
      <c r="D586" s="12"/>
      <c r="E586" s="12"/>
    </row>
    <row r="587" spans="4:5" ht="13.5" customHeight="1" x14ac:dyDescent="0.2">
      <c r="D587" s="12"/>
      <c r="E587" s="12"/>
    </row>
    <row r="588" spans="4:5" ht="13.5" customHeight="1" x14ac:dyDescent="0.2">
      <c r="D588" s="12"/>
      <c r="E588" s="12"/>
    </row>
    <row r="589" spans="4:5" ht="13.5" customHeight="1" x14ac:dyDescent="0.2">
      <c r="D589" s="12"/>
      <c r="E589" s="12"/>
    </row>
    <row r="590" spans="4:5" ht="13.5" customHeight="1" x14ac:dyDescent="0.2">
      <c r="D590" s="12"/>
      <c r="E590" s="12"/>
    </row>
    <row r="591" spans="4:5" ht="13.5" customHeight="1" x14ac:dyDescent="0.2">
      <c r="D591" s="12"/>
      <c r="E591" s="12"/>
    </row>
    <row r="592" spans="4:5" ht="13.5" customHeight="1" x14ac:dyDescent="0.2">
      <c r="D592" s="12"/>
      <c r="E592" s="12"/>
    </row>
    <row r="593" spans="4:5" ht="13.5" customHeight="1" x14ac:dyDescent="0.2">
      <c r="D593" s="12"/>
      <c r="E593" s="12"/>
    </row>
    <row r="594" spans="4:5" ht="13.5" customHeight="1" x14ac:dyDescent="0.2">
      <c r="D594" s="12"/>
      <c r="E594" s="12"/>
    </row>
    <row r="595" spans="4:5" ht="13.5" customHeight="1" x14ac:dyDescent="0.2">
      <c r="D595" s="12"/>
      <c r="E595" s="12"/>
    </row>
    <row r="596" spans="4:5" ht="13.5" customHeight="1" x14ac:dyDescent="0.2">
      <c r="D596" s="12"/>
      <c r="E596" s="12"/>
    </row>
    <row r="597" spans="4:5" ht="13.5" customHeight="1" x14ac:dyDescent="0.2">
      <c r="D597" s="12"/>
      <c r="E597" s="12"/>
    </row>
    <row r="598" spans="4:5" ht="13.5" customHeight="1" x14ac:dyDescent="0.2">
      <c r="D598" s="12"/>
      <c r="E598" s="12"/>
    </row>
    <row r="599" spans="4:5" ht="13.5" customHeight="1" x14ac:dyDescent="0.2">
      <c r="D599" s="12"/>
      <c r="E599" s="12"/>
    </row>
    <row r="600" spans="4:5" ht="13.5" customHeight="1" x14ac:dyDescent="0.2">
      <c r="D600" s="12"/>
      <c r="E600" s="12"/>
    </row>
    <row r="601" spans="4:5" ht="13.5" customHeight="1" x14ac:dyDescent="0.2">
      <c r="D601" s="12"/>
      <c r="E601" s="12"/>
    </row>
    <row r="602" spans="4:5" ht="13.5" customHeight="1" x14ac:dyDescent="0.2">
      <c r="D602" s="12"/>
      <c r="E602" s="12"/>
    </row>
    <row r="603" spans="4:5" ht="13.5" customHeight="1" x14ac:dyDescent="0.2">
      <c r="D603" s="12"/>
      <c r="E603" s="12"/>
    </row>
    <row r="604" spans="4:5" ht="13.5" customHeight="1" x14ac:dyDescent="0.2">
      <c r="D604" s="12"/>
      <c r="E604" s="12"/>
    </row>
    <row r="605" spans="4:5" ht="13.5" customHeight="1" x14ac:dyDescent="0.2">
      <c r="D605" s="12"/>
      <c r="E605" s="12"/>
    </row>
    <row r="606" spans="4:5" ht="13.5" customHeight="1" x14ac:dyDescent="0.2">
      <c r="D606" s="12"/>
      <c r="E606" s="12"/>
    </row>
    <row r="607" spans="4:5" ht="13.5" customHeight="1" x14ac:dyDescent="0.2">
      <c r="D607" s="12"/>
      <c r="E607" s="12"/>
    </row>
    <row r="608" spans="4:5" ht="13.5" customHeight="1" x14ac:dyDescent="0.2">
      <c r="D608" s="12"/>
      <c r="E608" s="12"/>
    </row>
    <row r="609" spans="4:5" ht="13.5" customHeight="1" x14ac:dyDescent="0.2">
      <c r="D609" s="12"/>
      <c r="E609" s="12"/>
    </row>
    <row r="610" spans="4:5" ht="13.5" customHeight="1" x14ac:dyDescent="0.2">
      <c r="D610" s="12"/>
      <c r="E610" s="12"/>
    </row>
    <row r="611" spans="4:5" ht="13.5" customHeight="1" x14ac:dyDescent="0.2">
      <c r="D611" s="12"/>
      <c r="E611" s="12"/>
    </row>
    <row r="612" spans="4:5" ht="13.5" customHeight="1" x14ac:dyDescent="0.2">
      <c r="D612" s="12"/>
      <c r="E612" s="12"/>
    </row>
    <row r="613" spans="4:5" ht="13.5" customHeight="1" x14ac:dyDescent="0.2">
      <c r="D613" s="12"/>
      <c r="E613" s="12"/>
    </row>
    <row r="614" spans="4:5" ht="13.5" customHeight="1" x14ac:dyDescent="0.2">
      <c r="D614" s="12"/>
      <c r="E614" s="12"/>
    </row>
    <row r="615" spans="4:5" ht="13.5" customHeight="1" x14ac:dyDescent="0.2">
      <c r="D615" s="12"/>
      <c r="E615" s="12"/>
    </row>
    <row r="616" spans="4:5" ht="13.5" customHeight="1" x14ac:dyDescent="0.2">
      <c r="D616" s="12"/>
      <c r="E616" s="12"/>
    </row>
    <row r="617" spans="4:5" ht="13.5" customHeight="1" x14ac:dyDescent="0.2">
      <c r="D617" s="12"/>
      <c r="E617" s="12"/>
    </row>
    <row r="618" spans="4:5" ht="13.5" customHeight="1" x14ac:dyDescent="0.2">
      <c r="D618" s="12"/>
      <c r="E618" s="12"/>
    </row>
    <row r="619" spans="4:5" ht="13.5" customHeight="1" x14ac:dyDescent="0.2">
      <c r="D619" s="12"/>
      <c r="E619" s="12"/>
    </row>
    <row r="620" spans="4:5" ht="13.5" customHeight="1" x14ac:dyDescent="0.2">
      <c r="D620" s="12"/>
      <c r="E620" s="12"/>
    </row>
    <row r="621" spans="4:5" ht="13.5" customHeight="1" x14ac:dyDescent="0.2">
      <c r="D621" s="12"/>
      <c r="E621" s="12"/>
    </row>
    <row r="622" spans="4:5" ht="13.5" customHeight="1" x14ac:dyDescent="0.2">
      <c r="D622" s="12"/>
      <c r="E622" s="12"/>
    </row>
    <row r="623" spans="4:5" ht="13.5" customHeight="1" x14ac:dyDescent="0.2">
      <c r="D623" s="12"/>
      <c r="E623" s="12"/>
    </row>
    <row r="624" spans="4:5" ht="13.5" customHeight="1" x14ac:dyDescent="0.2">
      <c r="D624" s="12"/>
      <c r="E624" s="12"/>
    </row>
    <row r="625" spans="4:5" ht="13.5" customHeight="1" x14ac:dyDescent="0.2">
      <c r="D625" s="12"/>
      <c r="E625" s="12"/>
    </row>
    <row r="626" spans="4:5" ht="13.5" customHeight="1" x14ac:dyDescent="0.2">
      <c r="D626" s="12"/>
      <c r="E626" s="12"/>
    </row>
    <row r="627" spans="4:5" ht="13.5" customHeight="1" x14ac:dyDescent="0.2">
      <c r="D627" s="12"/>
      <c r="E627" s="12"/>
    </row>
    <row r="628" spans="4:5" ht="13.5" customHeight="1" x14ac:dyDescent="0.2">
      <c r="D628" s="12"/>
      <c r="E628" s="12"/>
    </row>
    <row r="629" spans="4:5" ht="13.5" customHeight="1" x14ac:dyDescent="0.2">
      <c r="D629" s="12"/>
      <c r="E629" s="12"/>
    </row>
    <row r="630" spans="4:5" ht="13.5" customHeight="1" x14ac:dyDescent="0.2">
      <c r="D630" s="12"/>
      <c r="E630" s="12"/>
    </row>
    <row r="631" spans="4:5" ht="13.5" customHeight="1" x14ac:dyDescent="0.2">
      <c r="D631" s="12"/>
      <c r="E631" s="12"/>
    </row>
    <row r="632" spans="4:5" ht="13.5" customHeight="1" x14ac:dyDescent="0.2">
      <c r="D632" s="12"/>
      <c r="E632" s="12"/>
    </row>
    <row r="633" spans="4:5" ht="13.5" customHeight="1" x14ac:dyDescent="0.2">
      <c r="D633" s="12"/>
      <c r="E633" s="12"/>
    </row>
    <row r="634" spans="4:5" ht="13.5" customHeight="1" x14ac:dyDescent="0.2">
      <c r="D634" s="12"/>
      <c r="E634" s="12"/>
    </row>
    <row r="635" spans="4:5" ht="13.5" customHeight="1" x14ac:dyDescent="0.2">
      <c r="D635" s="12"/>
      <c r="E635" s="12"/>
    </row>
    <row r="636" spans="4:5" ht="13.5" customHeight="1" x14ac:dyDescent="0.2">
      <c r="D636" s="12"/>
      <c r="E636" s="12"/>
    </row>
    <row r="637" spans="4:5" ht="13.5" customHeight="1" x14ac:dyDescent="0.2">
      <c r="D637" s="12"/>
      <c r="E637" s="12"/>
    </row>
    <row r="638" spans="4:5" ht="13.5" customHeight="1" x14ac:dyDescent="0.2">
      <c r="D638" s="12"/>
      <c r="E638" s="12"/>
    </row>
    <row r="639" spans="4:5" ht="13.5" customHeight="1" x14ac:dyDescent="0.2">
      <c r="D639" s="12"/>
      <c r="E639" s="12"/>
    </row>
    <row r="640" spans="4:5" ht="13.5" customHeight="1" x14ac:dyDescent="0.2">
      <c r="D640" s="12"/>
      <c r="E640" s="12"/>
    </row>
    <row r="641" spans="4:5" ht="13.5" customHeight="1" x14ac:dyDescent="0.2">
      <c r="D641" s="12"/>
      <c r="E641" s="12"/>
    </row>
    <row r="642" spans="4:5" ht="13.5" customHeight="1" x14ac:dyDescent="0.2">
      <c r="D642" s="12"/>
      <c r="E642" s="12"/>
    </row>
    <row r="643" spans="4:5" ht="13.5" customHeight="1" x14ac:dyDescent="0.2">
      <c r="D643" s="12"/>
      <c r="E643" s="12"/>
    </row>
    <row r="644" spans="4:5" ht="13.5" customHeight="1" x14ac:dyDescent="0.2">
      <c r="D644" s="12"/>
      <c r="E644" s="12"/>
    </row>
    <row r="645" spans="4:5" ht="13.5" customHeight="1" x14ac:dyDescent="0.2">
      <c r="D645" s="12"/>
      <c r="E645" s="12"/>
    </row>
    <row r="646" spans="4:5" ht="13.5" customHeight="1" x14ac:dyDescent="0.2">
      <c r="D646" s="12"/>
      <c r="E646" s="12"/>
    </row>
    <row r="647" spans="4:5" ht="13.5" customHeight="1" x14ac:dyDescent="0.2">
      <c r="D647" s="12"/>
      <c r="E647" s="12"/>
    </row>
    <row r="648" spans="4:5" ht="13.5" customHeight="1" x14ac:dyDescent="0.2">
      <c r="D648" s="12"/>
      <c r="E648" s="12"/>
    </row>
    <row r="649" spans="4:5" ht="13.5" customHeight="1" x14ac:dyDescent="0.2">
      <c r="D649" s="12"/>
      <c r="E649" s="12"/>
    </row>
    <row r="650" spans="4:5" ht="13.5" customHeight="1" x14ac:dyDescent="0.2">
      <c r="D650" s="12"/>
      <c r="E650" s="12"/>
    </row>
    <row r="651" spans="4:5" ht="13.5" customHeight="1" x14ac:dyDescent="0.2">
      <c r="D651" s="12"/>
      <c r="E651" s="12"/>
    </row>
    <row r="652" spans="4:5" ht="13.5" customHeight="1" x14ac:dyDescent="0.2">
      <c r="D652" s="12"/>
      <c r="E652" s="12"/>
    </row>
    <row r="653" spans="4:5" ht="13.5" customHeight="1" x14ac:dyDescent="0.2">
      <c r="D653" s="12"/>
      <c r="E653" s="12"/>
    </row>
    <row r="654" spans="4:5" ht="13.5" customHeight="1" x14ac:dyDescent="0.2">
      <c r="D654" s="12"/>
      <c r="E654" s="12"/>
    </row>
    <row r="655" spans="4:5" ht="13.5" customHeight="1" x14ac:dyDescent="0.2">
      <c r="D655" s="12"/>
      <c r="E655" s="12"/>
    </row>
    <row r="656" spans="4:5" ht="13.5" customHeight="1" x14ac:dyDescent="0.2">
      <c r="D656" s="12"/>
      <c r="E656" s="12"/>
    </row>
    <row r="657" spans="4:5" ht="13.5" customHeight="1" x14ac:dyDescent="0.2">
      <c r="D657" s="12"/>
      <c r="E657" s="12"/>
    </row>
    <row r="658" spans="4:5" ht="13.5" customHeight="1" x14ac:dyDescent="0.2">
      <c r="D658" s="12"/>
      <c r="E658" s="12"/>
    </row>
    <row r="659" spans="4:5" ht="13.5" customHeight="1" x14ac:dyDescent="0.2">
      <c r="D659" s="12"/>
      <c r="E659" s="12"/>
    </row>
    <row r="660" spans="4:5" ht="13.5" customHeight="1" x14ac:dyDescent="0.2">
      <c r="D660" s="12"/>
      <c r="E660" s="12"/>
    </row>
    <row r="661" spans="4:5" ht="13.5" customHeight="1" x14ac:dyDescent="0.2">
      <c r="D661" s="12"/>
      <c r="E661" s="12"/>
    </row>
    <row r="662" spans="4:5" ht="13.5" customHeight="1" x14ac:dyDescent="0.2">
      <c r="D662" s="12"/>
      <c r="E662" s="12"/>
    </row>
    <row r="663" spans="4:5" ht="13.5" customHeight="1" x14ac:dyDescent="0.2">
      <c r="D663" s="12"/>
      <c r="E663" s="12"/>
    </row>
    <row r="664" spans="4:5" ht="13.5" customHeight="1" x14ac:dyDescent="0.2">
      <c r="D664" s="12"/>
      <c r="E664" s="12"/>
    </row>
    <row r="665" spans="4:5" ht="13.5" customHeight="1" x14ac:dyDescent="0.2">
      <c r="D665" s="12"/>
      <c r="E665" s="12"/>
    </row>
    <row r="666" spans="4:5" ht="13.5" customHeight="1" x14ac:dyDescent="0.2">
      <c r="D666" s="12"/>
      <c r="E666" s="12"/>
    </row>
    <row r="667" spans="4:5" ht="13.5" customHeight="1" x14ac:dyDescent="0.2">
      <c r="D667" s="12"/>
      <c r="E667" s="12"/>
    </row>
    <row r="668" spans="4:5" ht="13.5" customHeight="1" x14ac:dyDescent="0.2">
      <c r="D668" s="12"/>
      <c r="E668" s="12"/>
    </row>
    <row r="669" spans="4:5" ht="13.5" customHeight="1" x14ac:dyDescent="0.2">
      <c r="D669" s="12"/>
      <c r="E669" s="12"/>
    </row>
    <row r="670" spans="4:5" ht="13.5" customHeight="1" x14ac:dyDescent="0.2">
      <c r="D670" s="12"/>
      <c r="E670" s="12"/>
    </row>
    <row r="671" spans="4:5" ht="13.5" customHeight="1" x14ac:dyDescent="0.2">
      <c r="D671" s="12"/>
      <c r="E671" s="12"/>
    </row>
    <row r="672" spans="4:5" ht="13.5" customHeight="1" x14ac:dyDescent="0.2">
      <c r="D672" s="12"/>
      <c r="E672" s="12"/>
    </row>
    <row r="673" spans="4:5" ht="13.5" customHeight="1" x14ac:dyDescent="0.2">
      <c r="D673" s="12"/>
      <c r="E673" s="12"/>
    </row>
    <row r="674" spans="4:5" ht="13.5" customHeight="1" x14ac:dyDescent="0.2">
      <c r="D674" s="12"/>
      <c r="E674" s="12"/>
    </row>
    <row r="675" spans="4:5" ht="13.5" customHeight="1" x14ac:dyDescent="0.2">
      <c r="D675" s="12"/>
      <c r="E675" s="12"/>
    </row>
    <row r="676" spans="4:5" ht="13.5" customHeight="1" x14ac:dyDescent="0.2">
      <c r="D676" s="12"/>
      <c r="E676" s="12"/>
    </row>
    <row r="677" spans="4:5" ht="13.5" customHeight="1" x14ac:dyDescent="0.2">
      <c r="D677" s="12"/>
      <c r="E677" s="12"/>
    </row>
    <row r="678" spans="4:5" ht="13.5" customHeight="1" x14ac:dyDescent="0.2">
      <c r="D678" s="12"/>
      <c r="E678" s="12"/>
    </row>
    <row r="679" spans="4:5" ht="13.5" customHeight="1" x14ac:dyDescent="0.2">
      <c r="D679" s="12"/>
      <c r="E679" s="12"/>
    </row>
    <row r="680" spans="4:5" ht="13.5" customHeight="1" x14ac:dyDescent="0.2">
      <c r="D680" s="12"/>
      <c r="E680" s="12"/>
    </row>
    <row r="681" spans="4:5" ht="13.5" customHeight="1" x14ac:dyDescent="0.2">
      <c r="D681" s="12"/>
      <c r="E681" s="12"/>
    </row>
    <row r="682" spans="4:5" ht="13.5" customHeight="1" x14ac:dyDescent="0.2">
      <c r="D682" s="12"/>
      <c r="E682" s="12"/>
    </row>
    <row r="683" spans="4:5" ht="13.5" customHeight="1" x14ac:dyDescent="0.2">
      <c r="D683" s="12"/>
      <c r="E683" s="12"/>
    </row>
    <row r="684" spans="4:5" ht="13.5" customHeight="1" x14ac:dyDescent="0.2">
      <c r="D684" s="12"/>
      <c r="E684" s="12"/>
    </row>
    <row r="685" spans="4:5" ht="13.5" customHeight="1" x14ac:dyDescent="0.2">
      <c r="D685" s="12"/>
      <c r="E685" s="12"/>
    </row>
    <row r="686" spans="4:5" ht="13.5" customHeight="1" x14ac:dyDescent="0.2">
      <c r="D686" s="12"/>
      <c r="E686" s="12"/>
    </row>
    <row r="687" spans="4:5" ht="13.5" customHeight="1" x14ac:dyDescent="0.2">
      <c r="D687" s="12"/>
      <c r="E687" s="12"/>
    </row>
    <row r="688" spans="4:5" ht="13.5" customHeight="1" x14ac:dyDescent="0.2">
      <c r="D688" s="12"/>
      <c r="E688" s="12"/>
    </row>
    <row r="689" spans="4:5" ht="13.5" customHeight="1" x14ac:dyDescent="0.2">
      <c r="D689" s="12"/>
      <c r="E689" s="12"/>
    </row>
    <row r="690" spans="4:5" ht="13.5" customHeight="1" x14ac:dyDescent="0.2">
      <c r="D690" s="12"/>
      <c r="E690" s="12"/>
    </row>
    <row r="691" spans="4:5" ht="13.5" customHeight="1" x14ac:dyDescent="0.2">
      <c r="D691" s="12"/>
      <c r="E691" s="12"/>
    </row>
    <row r="692" spans="4:5" ht="13.5" customHeight="1" x14ac:dyDescent="0.2">
      <c r="D692" s="12"/>
      <c r="E692" s="12"/>
    </row>
    <row r="693" spans="4:5" ht="13.5" customHeight="1" x14ac:dyDescent="0.2">
      <c r="D693" s="12"/>
      <c r="E693" s="12"/>
    </row>
    <row r="694" spans="4:5" ht="13.5" customHeight="1" x14ac:dyDescent="0.2">
      <c r="D694" s="12"/>
      <c r="E694" s="12"/>
    </row>
    <row r="695" spans="4:5" ht="13.5" customHeight="1" x14ac:dyDescent="0.2">
      <c r="D695" s="12"/>
      <c r="E695" s="12"/>
    </row>
    <row r="696" spans="4:5" ht="13.5" customHeight="1" x14ac:dyDescent="0.2">
      <c r="D696" s="12"/>
      <c r="E696" s="12"/>
    </row>
    <row r="697" spans="4:5" ht="13.5" customHeight="1" x14ac:dyDescent="0.2">
      <c r="D697" s="12"/>
      <c r="E697" s="12"/>
    </row>
    <row r="698" spans="4:5" ht="13.5" customHeight="1" x14ac:dyDescent="0.2">
      <c r="D698" s="12"/>
      <c r="E698" s="12"/>
    </row>
    <row r="699" spans="4:5" ht="13.5" customHeight="1" x14ac:dyDescent="0.2">
      <c r="D699" s="12"/>
      <c r="E699" s="12"/>
    </row>
    <row r="700" spans="4:5" ht="13.5" customHeight="1" x14ac:dyDescent="0.2">
      <c r="D700" s="12"/>
      <c r="E700" s="12"/>
    </row>
    <row r="701" spans="4:5" ht="13.5" customHeight="1" x14ac:dyDescent="0.2">
      <c r="D701" s="12"/>
      <c r="E701" s="12"/>
    </row>
    <row r="702" spans="4:5" ht="13.5" customHeight="1" x14ac:dyDescent="0.2">
      <c r="D702" s="12"/>
      <c r="E702" s="12"/>
    </row>
    <row r="703" spans="4:5" ht="13.5" customHeight="1" x14ac:dyDescent="0.2">
      <c r="D703" s="12"/>
      <c r="E703" s="12"/>
    </row>
    <row r="704" spans="4:5" ht="13.5" customHeight="1" x14ac:dyDescent="0.2">
      <c r="D704" s="12"/>
      <c r="E704" s="12"/>
    </row>
    <row r="705" spans="4:5" ht="13.5" customHeight="1" x14ac:dyDescent="0.2">
      <c r="D705" s="12"/>
      <c r="E705" s="12"/>
    </row>
    <row r="706" spans="4:5" ht="13.5" customHeight="1" x14ac:dyDescent="0.2">
      <c r="D706" s="12"/>
      <c r="E706" s="12"/>
    </row>
    <row r="707" spans="4:5" ht="13.5" customHeight="1" x14ac:dyDescent="0.2">
      <c r="D707" s="12"/>
      <c r="E707" s="12"/>
    </row>
    <row r="708" spans="4:5" ht="13.5" customHeight="1" x14ac:dyDescent="0.2">
      <c r="D708" s="12"/>
      <c r="E708" s="12"/>
    </row>
    <row r="709" spans="4:5" ht="13.5" customHeight="1" x14ac:dyDescent="0.2">
      <c r="D709" s="12"/>
      <c r="E709" s="12"/>
    </row>
    <row r="710" spans="4:5" ht="13.5" customHeight="1" x14ac:dyDescent="0.2">
      <c r="D710" s="12"/>
      <c r="E710" s="12"/>
    </row>
    <row r="711" spans="4:5" ht="13.5" customHeight="1" x14ac:dyDescent="0.2">
      <c r="D711" s="12"/>
      <c r="E711" s="12"/>
    </row>
    <row r="712" spans="4:5" ht="13.5" customHeight="1" x14ac:dyDescent="0.2">
      <c r="D712" s="12"/>
      <c r="E712" s="12"/>
    </row>
    <row r="713" spans="4:5" ht="13.5" customHeight="1" x14ac:dyDescent="0.2">
      <c r="D713" s="12"/>
      <c r="E713" s="12"/>
    </row>
    <row r="714" spans="4:5" ht="13.5" customHeight="1" x14ac:dyDescent="0.2">
      <c r="D714" s="12"/>
      <c r="E714" s="12"/>
    </row>
    <row r="715" spans="4:5" ht="13.5" customHeight="1" x14ac:dyDescent="0.2">
      <c r="D715" s="12"/>
      <c r="E715" s="12"/>
    </row>
    <row r="716" spans="4:5" ht="13.5" customHeight="1" x14ac:dyDescent="0.2">
      <c r="D716" s="12"/>
      <c r="E716" s="12"/>
    </row>
    <row r="717" spans="4:5" ht="13.5" customHeight="1" x14ac:dyDescent="0.2">
      <c r="D717" s="12"/>
      <c r="E717" s="12"/>
    </row>
    <row r="718" spans="4:5" ht="13.5" customHeight="1" x14ac:dyDescent="0.2">
      <c r="D718" s="12"/>
      <c r="E718" s="12"/>
    </row>
    <row r="719" spans="4:5" ht="13.5" customHeight="1" x14ac:dyDescent="0.2">
      <c r="D719" s="12"/>
      <c r="E719" s="12"/>
    </row>
    <row r="720" spans="4:5" ht="13.5" customHeight="1" x14ac:dyDescent="0.2">
      <c r="D720" s="12"/>
      <c r="E720" s="12"/>
    </row>
    <row r="721" spans="4:5" ht="13.5" customHeight="1" x14ac:dyDescent="0.2">
      <c r="D721" s="12"/>
      <c r="E721" s="12"/>
    </row>
    <row r="722" spans="4:5" ht="13.5" customHeight="1" x14ac:dyDescent="0.2">
      <c r="D722" s="12"/>
      <c r="E722" s="12"/>
    </row>
    <row r="723" spans="4:5" ht="13.5" customHeight="1" x14ac:dyDescent="0.2">
      <c r="D723" s="12"/>
      <c r="E723" s="12"/>
    </row>
    <row r="724" spans="4:5" ht="13.5" customHeight="1" x14ac:dyDescent="0.2">
      <c r="D724" s="12"/>
      <c r="E724" s="12"/>
    </row>
    <row r="725" spans="4:5" ht="13.5" customHeight="1" x14ac:dyDescent="0.2">
      <c r="D725" s="12"/>
      <c r="E725" s="12"/>
    </row>
    <row r="726" spans="4:5" ht="13.5" customHeight="1" x14ac:dyDescent="0.2">
      <c r="D726" s="12"/>
      <c r="E726" s="12"/>
    </row>
    <row r="727" spans="4:5" ht="13.5" customHeight="1" x14ac:dyDescent="0.2">
      <c r="D727" s="12"/>
      <c r="E727" s="12"/>
    </row>
    <row r="728" spans="4:5" ht="13.5" customHeight="1" x14ac:dyDescent="0.2">
      <c r="D728" s="12"/>
      <c r="E728" s="12"/>
    </row>
    <row r="729" spans="4:5" ht="13.5" customHeight="1" x14ac:dyDescent="0.2">
      <c r="D729" s="12"/>
      <c r="E729" s="12"/>
    </row>
    <row r="730" spans="4:5" ht="13.5" customHeight="1" x14ac:dyDescent="0.2">
      <c r="D730" s="12"/>
      <c r="E730" s="12"/>
    </row>
    <row r="731" spans="4:5" ht="13.5" customHeight="1" x14ac:dyDescent="0.2">
      <c r="D731" s="12"/>
      <c r="E731" s="12"/>
    </row>
    <row r="732" spans="4:5" ht="13.5" customHeight="1" x14ac:dyDescent="0.2">
      <c r="D732" s="12"/>
      <c r="E732" s="12"/>
    </row>
    <row r="733" spans="4:5" ht="13.5" customHeight="1" x14ac:dyDescent="0.2">
      <c r="D733" s="12"/>
      <c r="E733" s="12"/>
    </row>
    <row r="734" spans="4:5" ht="13.5" customHeight="1" x14ac:dyDescent="0.2">
      <c r="D734" s="12"/>
      <c r="E734" s="12"/>
    </row>
    <row r="735" spans="4:5" ht="13.5" customHeight="1" x14ac:dyDescent="0.2">
      <c r="D735" s="12"/>
      <c r="E735" s="12"/>
    </row>
    <row r="736" spans="4:5" ht="13.5" customHeight="1" x14ac:dyDescent="0.2">
      <c r="D736" s="12"/>
      <c r="E736" s="12"/>
    </row>
    <row r="737" spans="4:5" ht="13.5" customHeight="1" x14ac:dyDescent="0.2">
      <c r="D737" s="12"/>
      <c r="E737" s="12"/>
    </row>
    <row r="738" spans="4:5" ht="13.5" customHeight="1" x14ac:dyDescent="0.2">
      <c r="D738" s="12"/>
      <c r="E738" s="12"/>
    </row>
    <row r="739" spans="4:5" ht="13.5" customHeight="1" x14ac:dyDescent="0.2">
      <c r="D739" s="12"/>
      <c r="E739" s="12"/>
    </row>
    <row r="740" spans="4:5" ht="13.5" customHeight="1" x14ac:dyDescent="0.2">
      <c r="D740" s="12"/>
      <c r="E740" s="12"/>
    </row>
    <row r="741" spans="4:5" ht="13.5" customHeight="1" x14ac:dyDescent="0.2">
      <c r="D741" s="12"/>
      <c r="E741" s="12"/>
    </row>
    <row r="742" spans="4:5" ht="13.5" customHeight="1" x14ac:dyDescent="0.2">
      <c r="D742" s="12"/>
      <c r="E742" s="12"/>
    </row>
    <row r="743" spans="4:5" ht="13.5" customHeight="1" x14ac:dyDescent="0.2">
      <c r="D743" s="12"/>
      <c r="E743" s="12"/>
    </row>
    <row r="744" spans="4:5" ht="13.5" customHeight="1" x14ac:dyDescent="0.2">
      <c r="D744" s="12"/>
      <c r="E744" s="12"/>
    </row>
    <row r="745" spans="4:5" ht="13.5" customHeight="1" x14ac:dyDescent="0.2">
      <c r="D745" s="12"/>
      <c r="E745" s="12"/>
    </row>
    <row r="746" spans="4:5" ht="13.5" customHeight="1" x14ac:dyDescent="0.2">
      <c r="D746" s="12"/>
      <c r="E746" s="12"/>
    </row>
    <row r="747" spans="4:5" ht="13.5" customHeight="1" x14ac:dyDescent="0.2">
      <c r="D747" s="12"/>
      <c r="E747" s="12"/>
    </row>
    <row r="748" spans="4:5" ht="13.5" customHeight="1" x14ac:dyDescent="0.2">
      <c r="D748" s="12"/>
      <c r="E748" s="12"/>
    </row>
    <row r="749" spans="4:5" ht="13.5" customHeight="1" x14ac:dyDescent="0.2">
      <c r="D749" s="12"/>
      <c r="E749" s="12"/>
    </row>
    <row r="750" spans="4:5" ht="13.5" customHeight="1" x14ac:dyDescent="0.2">
      <c r="D750" s="12"/>
      <c r="E750" s="12"/>
    </row>
    <row r="751" spans="4:5" ht="13.5" customHeight="1" x14ac:dyDescent="0.2">
      <c r="D751" s="12"/>
      <c r="E751" s="12"/>
    </row>
    <row r="752" spans="4:5" ht="13.5" customHeight="1" x14ac:dyDescent="0.2">
      <c r="D752" s="12"/>
      <c r="E752" s="12"/>
    </row>
    <row r="753" spans="4:5" ht="13.5" customHeight="1" x14ac:dyDescent="0.2">
      <c r="D753" s="12"/>
      <c r="E753" s="12"/>
    </row>
    <row r="754" spans="4:5" ht="13.5" customHeight="1" x14ac:dyDescent="0.2">
      <c r="D754" s="12"/>
      <c r="E754" s="12"/>
    </row>
    <row r="755" spans="4:5" ht="13.5" customHeight="1" x14ac:dyDescent="0.2">
      <c r="D755" s="12"/>
      <c r="E755" s="12"/>
    </row>
    <row r="756" spans="4:5" ht="13.5" customHeight="1" x14ac:dyDescent="0.2">
      <c r="D756" s="12"/>
      <c r="E756" s="12"/>
    </row>
    <row r="757" spans="4:5" ht="13.5" customHeight="1" x14ac:dyDescent="0.2">
      <c r="D757" s="12"/>
      <c r="E757" s="12"/>
    </row>
    <row r="758" spans="4:5" ht="13.5" customHeight="1" x14ac:dyDescent="0.2">
      <c r="D758" s="12"/>
      <c r="E758" s="12"/>
    </row>
    <row r="759" spans="4:5" ht="13.5" customHeight="1" x14ac:dyDescent="0.2">
      <c r="D759" s="12"/>
      <c r="E759" s="12"/>
    </row>
    <row r="760" spans="4:5" ht="13.5" customHeight="1" x14ac:dyDescent="0.2">
      <c r="D760" s="12"/>
      <c r="E760" s="12"/>
    </row>
    <row r="761" spans="4:5" ht="13.5" customHeight="1" x14ac:dyDescent="0.2">
      <c r="D761" s="12"/>
      <c r="E761" s="12"/>
    </row>
    <row r="762" spans="4:5" ht="13.5" customHeight="1" x14ac:dyDescent="0.2">
      <c r="D762" s="12"/>
      <c r="E762" s="12"/>
    </row>
    <row r="763" spans="4:5" ht="13.5" customHeight="1" x14ac:dyDescent="0.2">
      <c r="D763" s="12"/>
      <c r="E763" s="12"/>
    </row>
    <row r="764" spans="4:5" ht="13.5" customHeight="1" x14ac:dyDescent="0.2">
      <c r="D764" s="12"/>
      <c r="E764" s="12"/>
    </row>
    <row r="765" spans="4:5" ht="13.5" customHeight="1" x14ac:dyDescent="0.2">
      <c r="D765" s="12"/>
      <c r="E765" s="12"/>
    </row>
    <row r="766" spans="4:5" ht="13.5" customHeight="1" x14ac:dyDescent="0.2">
      <c r="D766" s="12"/>
      <c r="E766" s="12"/>
    </row>
    <row r="767" spans="4:5" ht="13.5" customHeight="1" x14ac:dyDescent="0.2">
      <c r="D767" s="12"/>
      <c r="E767" s="12"/>
    </row>
    <row r="768" spans="4:5" ht="13.5" customHeight="1" x14ac:dyDescent="0.2">
      <c r="D768" s="12"/>
      <c r="E768" s="12"/>
    </row>
    <row r="769" spans="4:5" ht="13.5" customHeight="1" x14ac:dyDescent="0.2">
      <c r="D769" s="12"/>
      <c r="E769" s="12"/>
    </row>
    <row r="770" spans="4:5" ht="13.5" customHeight="1" x14ac:dyDescent="0.2">
      <c r="D770" s="12"/>
      <c r="E770" s="12"/>
    </row>
    <row r="771" spans="4:5" ht="13.5" customHeight="1" x14ac:dyDescent="0.2">
      <c r="D771" s="12"/>
      <c r="E771" s="12"/>
    </row>
    <row r="772" spans="4:5" ht="13.5" customHeight="1" x14ac:dyDescent="0.2">
      <c r="D772" s="12"/>
      <c r="E772" s="12"/>
    </row>
    <row r="773" spans="4:5" ht="13.5" customHeight="1" x14ac:dyDescent="0.2">
      <c r="D773" s="12"/>
      <c r="E773" s="12"/>
    </row>
    <row r="774" spans="4:5" ht="13.5" customHeight="1" x14ac:dyDescent="0.2">
      <c r="D774" s="12"/>
      <c r="E774" s="12"/>
    </row>
    <row r="775" spans="4:5" ht="13.5" customHeight="1" x14ac:dyDescent="0.2">
      <c r="D775" s="12"/>
      <c r="E775" s="12"/>
    </row>
    <row r="776" spans="4:5" ht="13.5" customHeight="1" x14ac:dyDescent="0.2">
      <c r="D776" s="12"/>
      <c r="E776" s="12"/>
    </row>
    <row r="777" spans="4:5" ht="13.5" customHeight="1" x14ac:dyDescent="0.2">
      <c r="D777" s="12"/>
      <c r="E777" s="12"/>
    </row>
    <row r="778" spans="4:5" ht="13.5" customHeight="1" x14ac:dyDescent="0.2">
      <c r="D778" s="12"/>
      <c r="E778" s="12"/>
    </row>
    <row r="779" spans="4:5" ht="13.5" customHeight="1" x14ac:dyDescent="0.2">
      <c r="D779" s="12"/>
      <c r="E779" s="12"/>
    </row>
    <row r="780" spans="4:5" ht="13.5" customHeight="1" x14ac:dyDescent="0.2">
      <c r="D780" s="12"/>
      <c r="E780" s="12"/>
    </row>
    <row r="781" spans="4:5" ht="13.5" customHeight="1" x14ac:dyDescent="0.2">
      <c r="D781" s="12"/>
      <c r="E781" s="12"/>
    </row>
    <row r="782" spans="4:5" ht="13.5" customHeight="1" x14ac:dyDescent="0.2">
      <c r="D782" s="12"/>
      <c r="E782" s="12"/>
    </row>
    <row r="783" spans="4:5" ht="13.5" customHeight="1" x14ac:dyDescent="0.2">
      <c r="D783" s="12"/>
      <c r="E783" s="12"/>
    </row>
    <row r="784" spans="4:5" ht="13.5" customHeight="1" x14ac:dyDescent="0.2">
      <c r="D784" s="12"/>
      <c r="E784" s="12"/>
    </row>
    <row r="785" spans="4:5" ht="13.5" customHeight="1" x14ac:dyDescent="0.2">
      <c r="D785" s="12"/>
      <c r="E785" s="12"/>
    </row>
    <row r="786" spans="4:5" ht="13.5" customHeight="1" x14ac:dyDescent="0.2">
      <c r="D786" s="12"/>
      <c r="E786" s="12"/>
    </row>
    <row r="787" spans="4:5" ht="13.5" customHeight="1" x14ac:dyDescent="0.2">
      <c r="D787" s="12"/>
      <c r="E787" s="12"/>
    </row>
    <row r="788" spans="4:5" ht="13.5" customHeight="1" x14ac:dyDescent="0.2">
      <c r="D788" s="12"/>
      <c r="E788" s="12"/>
    </row>
    <row r="789" spans="4:5" ht="13.5" customHeight="1" x14ac:dyDescent="0.2">
      <c r="D789" s="12"/>
      <c r="E789" s="12"/>
    </row>
    <row r="790" spans="4:5" ht="13.5" customHeight="1" x14ac:dyDescent="0.2">
      <c r="D790" s="12"/>
      <c r="E790" s="12"/>
    </row>
    <row r="791" spans="4:5" ht="13.5" customHeight="1" x14ac:dyDescent="0.2">
      <c r="D791" s="12"/>
      <c r="E791" s="12"/>
    </row>
    <row r="792" spans="4:5" ht="13.5" customHeight="1" x14ac:dyDescent="0.2">
      <c r="D792" s="12"/>
      <c r="E792" s="12"/>
    </row>
    <row r="793" spans="4:5" ht="13.5" customHeight="1" x14ac:dyDescent="0.2">
      <c r="D793" s="12"/>
      <c r="E793" s="12"/>
    </row>
    <row r="794" spans="4:5" ht="13.5" customHeight="1" x14ac:dyDescent="0.2">
      <c r="D794" s="12"/>
      <c r="E794" s="12"/>
    </row>
    <row r="795" spans="4:5" ht="13.5" customHeight="1" x14ac:dyDescent="0.2">
      <c r="D795" s="12"/>
      <c r="E795" s="12"/>
    </row>
    <row r="796" spans="4:5" ht="13.5" customHeight="1" x14ac:dyDescent="0.2">
      <c r="D796" s="12"/>
      <c r="E796" s="12"/>
    </row>
    <row r="797" spans="4:5" ht="13.5" customHeight="1" x14ac:dyDescent="0.2">
      <c r="D797" s="12"/>
      <c r="E797" s="12"/>
    </row>
    <row r="798" spans="4:5" ht="13.5" customHeight="1" x14ac:dyDescent="0.2">
      <c r="D798" s="12"/>
      <c r="E798" s="12"/>
    </row>
    <row r="799" spans="4:5" ht="13.5" customHeight="1" x14ac:dyDescent="0.2">
      <c r="D799" s="12"/>
      <c r="E799" s="12"/>
    </row>
    <row r="800" spans="4:5" ht="13.5" customHeight="1" x14ac:dyDescent="0.2">
      <c r="D800" s="12"/>
      <c r="E800" s="12"/>
    </row>
    <row r="801" spans="4:5" ht="13.5" customHeight="1" x14ac:dyDescent="0.2">
      <c r="D801" s="12"/>
      <c r="E801" s="12"/>
    </row>
    <row r="802" spans="4:5" ht="13.5" customHeight="1" x14ac:dyDescent="0.2">
      <c r="D802" s="12"/>
      <c r="E802" s="12"/>
    </row>
    <row r="803" spans="4:5" ht="13.5" customHeight="1" x14ac:dyDescent="0.2">
      <c r="D803" s="12"/>
      <c r="E803" s="12"/>
    </row>
    <row r="804" spans="4:5" ht="13.5" customHeight="1" x14ac:dyDescent="0.2">
      <c r="D804" s="12"/>
      <c r="E804" s="12"/>
    </row>
    <row r="805" spans="4:5" ht="13.5" customHeight="1" x14ac:dyDescent="0.2">
      <c r="D805" s="12"/>
      <c r="E805" s="12"/>
    </row>
    <row r="806" spans="4:5" ht="13.5" customHeight="1" x14ac:dyDescent="0.2">
      <c r="D806" s="12"/>
      <c r="E806" s="12"/>
    </row>
    <row r="807" spans="4:5" ht="13.5" customHeight="1" x14ac:dyDescent="0.2">
      <c r="D807" s="12"/>
      <c r="E807" s="12"/>
    </row>
    <row r="808" spans="4:5" ht="13.5" customHeight="1" x14ac:dyDescent="0.2">
      <c r="D808" s="12"/>
      <c r="E808" s="12"/>
    </row>
    <row r="809" spans="4:5" ht="13.5" customHeight="1" x14ac:dyDescent="0.2">
      <c r="D809" s="12"/>
      <c r="E809" s="12"/>
    </row>
    <row r="810" spans="4:5" ht="13.5" customHeight="1" x14ac:dyDescent="0.2">
      <c r="D810" s="12"/>
      <c r="E810" s="12"/>
    </row>
    <row r="811" spans="4:5" ht="13.5" customHeight="1" x14ac:dyDescent="0.2">
      <c r="D811" s="12"/>
      <c r="E811" s="12"/>
    </row>
    <row r="812" spans="4:5" ht="13.5" customHeight="1" x14ac:dyDescent="0.2">
      <c r="D812" s="12"/>
      <c r="E812" s="12"/>
    </row>
    <row r="813" spans="4:5" ht="13.5" customHeight="1" x14ac:dyDescent="0.2">
      <c r="D813" s="12"/>
      <c r="E813" s="12"/>
    </row>
    <row r="814" spans="4:5" ht="13.5" customHeight="1" x14ac:dyDescent="0.2">
      <c r="D814" s="12"/>
      <c r="E814" s="12"/>
    </row>
    <row r="815" spans="4:5" ht="13.5" customHeight="1" x14ac:dyDescent="0.2">
      <c r="D815" s="12"/>
      <c r="E815" s="12"/>
    </row>
    <row r="816" spans="4:5" ht="13.5" customHeight="1" x14ac:dyDescent="0.2">
      <c r="D816" s="12"/>
      <c r="E816" s="12"/>
    </row>
    <row r="817" spans="4:5" ht="13.5" customHeight="1" x14ac:dyDescent="0.2">
      <c r="D817" s="12"/>
      <c r="E817" s="12"/>
    </row>
    <row r="818" spans="4:5" ht="13.5" customHeight="1" x14ac:dyDescent="0.2">
      <c r="D818" s="12"/>
      <c r="E818" s="12"/>
    </row>
    <row r="819" spans="4:5" ht="13.5" customHeight="1" x14ac:dyDescent="0.2">
      <c r="D819" s="12"/>
      <c r="E819" s="12"/>
    </row>
    <row r="820" spans="4:5" ht="13.5" customHeight="1" x14ac:dyDescent="0.2">
      <c r="D820" s="12"/>
      <c r="E820" s="12"/>
    </row>
    <row r="821" spans="4:5" ht="13.5" customHeight="1" x14ac:dyDescent="0.2">
      <c r="D821" s="12"/>
      <c r="E821" s="12"/>
    </row>
    <row r="822" spans="4:5" ht="13.5" customHeight="1" x14ac:dyDescent="0.2">
      <c r="D822" s="12"/>
      <c r="E822" s="12"/>
    </row>
    <row r="823" spans="4:5" ht="13.5" customHeight="1" x14ac:dyDescent="0.2">
      <c r="D823" s="12"/>
      <c r="E823" s="12"/>
    </row>
    <row r="824" spans="4:5" ht="13.5" customHeight="1" x14ac:dyDescent="0.2">
      <c r="D824" s="12"/>
      <c r="E824" s="12"/>
    </row>
    <row r="825" spans="4:5" ht="13.5" customHeight="1" x14ac:dyDescent="0.2">
      <c r="D825" s="12"/>
      <c r="E825" s="12"/>
    </row>
    <row r="826" spans="4:5" ht="13.5" customHeight="1" x14ac:dyDescent="0.2">
      <c r="D826" s="12"/>
      <c r="E826" s="12"/>
    </row>
    <row r="827" spans="4:5" ht="13.5" customHeight="1" x14ac:dyDescent="0.2">
      <c r="D827" s="12"/>
      <c r="E827" s="12"/>
    </row>
    <row r="828" spans="4:5" ht="13.5" customHeight="1" x14ac:dyDescent="0.2">
      <c r="D828" s="12"/>
      <c r="E828" s="12"/>
    </row>
    <row r="829" spans="4:5" ht="13.5" customHeight="1" x14ac:dyDescent="0.2">
      <c r="D829" s="12"/>
      <c r="E829" s="12"/>
    </row>
    <row r="830" spans="4:5" ht="13.5" customHeight="1" x14ac:dyDescent="0.2">
      <c r="D830" s="12"/>
      <c r="E830" s="12"/>
    </row>
    <row r="831" spans="4:5" ht="13.5" customHeight="1" x14ac:dyDescent="0.2">
      <c r="D831" s="12"/>
      <c r="E831" s="12"/>
    </row>
    <row r="832" spans="4:5" ht="13.5" customHeight="1" x14ac:dyDescent="0.2">
      <c r="D832" s="12"/>
      <c r="E832" s="12"/>
    </row>
    <row r="833" spans="4:5" ht="13.5" customHeight="1" x14ac:dyDescent="0.2">
      <c r="D833" s="12"/>
      <c r="E833" s="12"/>
    </row>
    <row r="834" spans="4:5" ht="13.5" customHeight="1" x14ac:dyDescent="0.2">
      <c r="D834" s="12"/>
      <c r="E834" s="12"/>
    </row>
    <row r="835" spans="4:5" ht="13.5" customHeight="1" x14ac:dyDescent="0.2">
      <c r="D835" s="12"/>
      <c r="E835" s="12"/>
    </row>
    <row r="836" spans="4:5" ht="13.5" customHeight="1" x14ac:dyDescent="0.2">
      <c r="D836" s="12"/>
      <c r="E836" s="12"/>
    </row>
    <row r="837" spans="4:5" ht="13.5" customHeight="1" x14ac:dyDescent="0.2">
      <c r="D837" s="12"/>
      <c r="E837" s="12"/>
    </row>
    <row r="838" spans="4:5" ht="13.5" customHeight="1" x14ac:dyDescent="0.2">
      <c r="D838" s="12"/>
      <c r="E838" s="12"/>
    </row>
    <row r="839" spans="4:5" ht="13.5" customHeight="1" x14ac:dyDescent="0.2">
      <c r="D839" s="12"/>
      <c r="E839" s="12"/>
    </row>
    <row r="840" spans="4:5" ht="13.5" customHeight="1" x14ac:dyDescent="0.2">
      <c r="D840" s="12"/>
      <c r="E840" s="12"/>
    </row>
    <row r="841" spans="4:5" ht="13.5" customHeight="1" x14ac:dyDescent="0.2">
      <c r="D841" s="12"/>
      <c r="E841" s="12"/>
    </row>
    <row r="842" spans="4:5" ht="13.5" customHeight="1" x14ac:dyDescent="0.2">
      <c r="D842" s="12"/>
      <c r="E842" s="12"/>
    </row>
    <row r="843" spans="4:5" ht="13.5" customHeight="1" x14ac:dyDescent="0.2">
      <c r="D843" s="12"/>
      <c r="E843" s="12"/>
    </row>
    <row r="844" spans="4:5" ht="13.5" customHeight="1" x14ac:dyDescent="0.2">
      <c r="D844" s="12"/>
      <c r="E844" s="12"/>
    </row>
    <row r="845" spans="4:5" ht="13.5" customHeight="1" x14ac:dyDescent="0.2">
      <c r="D845" s="12"/>
      <c r="E845" s="12"/>
    </row>
    <row r="846" spans="4:5" ht="13.5" customHeight="1" x14ac:dyDescent="0.2">
      <c r="D846" s="12"/>
      <c r="E846" s="12"/>
    </row>
    <row r="847" spans="4:5" ht="13.5" customHeight="1" x14ac:dyDescent="0.2">
      <c r="D847" s="12"/>
      <c r="E847" s="12"/>
    </row>
    <row r="848" spans="4:5" ht="13.5" customHeight="1" x14ac:dyDescent="0.2">
      <c r="D848" s="12"/>
      <c r="E848" s="12"/>
    </row>
    <row r="849" spans="4:5" ht="13.5" customHeight="1" x14ac:dyDescent="0.2">
      <c r="D849" s="12"/>
      <c r="E849" s="12"/>
    </row>
    <row r="850" spans="4:5" ht="13.5" customHeight="1" x14ac:dyDescent="0.2">
      <c r="D850" s="12"/>
      <c r="E850" s="12"/>
    </row>
    <row r="851" spans="4:5" ht="13.5" customHeight="1" x14ac:dyDescent="0.2">
      <c r="D851" s="12"/>
      <c r="E851" s="12"/>
    </row>
    <row r="852" spans="4:5" ht="13.5" customHeight="1" x14ac:dyDescent="0.2">
      <c r="D852" s="12"/>
      <c r="E852" s="12"/>
    </row>
    <row r="853" spans="4:5" ht="13.5" customHeight="1" x14ac:dyDescent="0.2">
      <c r="D853" s="12"/>
      <c r="E853" s="12"/>
    </row>
    <row r="854" spans="4:5" ht="13.5" customHeight="1" x14ac:dyDescent="0.2">
      <c r="D854" s="12"/>
      <c r="E854" s="12"/>
    </row>
    <row r="855" spans="4:5" ht="13.5" customHeight="1" x14ac:dyDescent="0.2">
      <c r="D855" s="12"/>
      <c r="E855" s="12"/>
    </row>
    <row r="856" spans="4:5" ht="13.5" customHeight="1" x14ac:dyDescent="0.2">
      <c r="D856" s="12"/>
      <c r="E856" s="12"/>
    </row>
    <row r="857" spans="4:5" ht="13.5" customHeight="1" x14ac:dyDescent="0.2">
      <c r="D857" s="12"/>
      <c r="E857" s="12"/>
    </row>
    <row r="858" spans="4:5" ht="13.5" customHeight="1" x14ac:dyDescent="0.2">
      <c r="D858" s="12"/>
      <c r="E858" s="12"/>
    </row>
    <row r="859" spans="4:5" ht="13.5" customHeight="1" x14ac:dyDescent="0.2">
      <c r="D859" s="12"/>
      <c r="E859" s="12"/>
    </row>
    <row r="860" spans="4:5" ht="13.5" customHeight="1" x14ac:dyDescent="0.2">
      <c r="D860" s="12"/>
      <c r="E860" s="12"/>
    </row>
    <row r="861" spans="4:5" ht="13.5" customHeight="1" x14ac:dyDescent="0.2">
      <c r="D861" s="12"/>
      <c r="E861" s="12"/>
    </row>
    <row r="862" spans="4:5" ht="13.5" customHeight="1" x14ac:dyDescent="0.2">
      <c r="D862" s="12"/>
      <c r="E862" s="12"/>
    </row>
    <row r="863" spans="4:5" ht="13.5" customHeight="1" x14ac:dyDescent="0.2">
      <c r="D863" s="12"/>
      <c r="E863" s="12"/>
    </row>
    <row r="864" spans="4:5" ht="13.5" customHeight="1" x14ac:dyDescent="0.2">
      <c r="D864" s="12"/>
      <c r="E864" s="12"/>
    </row>
    <row r="865" spans="4:5" ht="13.5" customHeight="1" x14ac:dyDescent="0.2">
      <c r="D865" s="12"/>
      <c r="E865" s="12"/>
    </row>
    <row r="866" spans="4:5" ht="13.5" customHeight="1" x14ac:dyDescent="0.2">
      <c r="D866" s="12"/>
      <c r="E866" s="12"/>
    </row>
    <row r="867" spans="4:5" ht="13.5" customHeight="1" x14ac:dyDescent="0.2">
      <c r="D867" s="12"/>
      <c r="E867" s="12"/>
    </row>
    <row r="868" spans="4:5" ht="13.5" customHeight="1" x14ac:dyDescent="0.2">
      <c r="D868" s="12"/>
      <c r="E868" s="12"/>
    </row>
    <row r="869" spans="4:5" ht="13.5" customHeight="1" x14ac:dyDescent="0.2">
      <c r="D869" s="12"/>
      <c r="E869" s="12"/>
    </row>
    <row r="870" spans="4:5" ht="13.5" customHeight="1" x14ac:dyDescent="0.2">
      <c r="D870" s="12"/>
      <c r="E870" s="12"/>
    </row>
    <row r="871" spans="4:5" ht="13.5" customHeight="1" x14ac:dyDescent="0.2">
      <c r="D871" s="12"/>
      <c r="E871" s="12"/>
    </row>
    <row r="872" spans="4:5" ht="13.5" customHeight="1" x14ac:dyDescent="0.2">
      <c r="D872" s="12"/>
      <c r="E872" s="12"/>
    </row>
    <row r="873" spans="4:5" ht="13.5" customHeight="1" x14ac:dyDescent="0.2">
      <c r="D873" s="12"/>
      <c r="E873" s="12"/>
    </row>
    <row r="874" spans="4:5" ht="13.5" customHeight="1" x14ac:dyDescent="0.2">
      <c r="D874" s="12"/>
      <c r="E874" s="12"/>
    </row>
    <row r="875" spans="4:5" ht="13.5" customHeight="1" x14ac:dyDescent="0.2">
      <c r="D875" s="12"/>
      <c r="E875" s="12"/>
    </row>
    <row r="876" spans="4:5" ht="13.5" customHeight="1" x14ac:dyDescent="0.2">
      <c r="D876" s="12"/>
      <c r="E876" s="12"/>
    </row>
    <row r="877" spans="4:5" ht="13.5" customHeight="1" x14ac:dyDescent="0.2">
      <c r="D877" s="12"/>
      <c r="E877" s="12"/>
    </row>
    <row r="878" spans="4:5" ht="13.5" customHeight="1" x14ac:dyDescent="0.2">
      <c r="D878" s="12"/>
      <c r="E878" s="12"/>
    </row>
    <row r="879" spans="4:5" ht="13.5" customHeight="1" x14ac:dyDescent="0.2">
      <c r="D879" s="12"/>
      <c r="E879" s="12"/>
    </row>
    <row r="880" spans="4:5" ht="13.5" customHeight="1" x14ac:dyDescent="0.2">
      <c r="D880" s="12"/>
      <c r="E880" s="12"/>
    </row>
    <row r="881" spans="4:5" ht="13.5" customHeight="1" x14ac:dyDescent="0.2">
      <c r="D881" s="12"/>
      <c r="E881" s="12"/>
    </row>
    <row r="882" spans="4:5" ht="13.5" customHeight="1" x14ac:dyDescent="0.2">
      <c r="D882" s="12"/>
      <c r="E882" s="12"/>
    </row>
    <row r="883" spans="4:5" ht="13.5" customHeight="1" x14ac:dyDescent="0.2">
      <c r="D883" s="12"/>
      <c r="E883" s="12"/>
    </row>
    <row r="884" spans="4:5" ht="13.5" customHeight="1" x14ac:dyDescent="0.2">
      <c r="D884" s="12"/>
      <c r="E884" s="12"/>
    </row>
    <row r="885" spans="4:5" ht="13.5" customHeight="1" x14ac:dyDescent="0.2">
      <c r="D885" s="12"/>
      <c r="E885" s="12"/>
    </row>
    <row r="886" spans="4:5" ht="13.5" customHeight="1" x14ac:dyDescent="0.2">
      <c r="D886" s="12"/>
      <c r="E886" s="12"/>
    </row>
    <row r="887" spans="4:5" ht="13.5" customHeight="1" x14ac:dyDescent="0.2">
      <c r="D887" s="12"/>
      <c r="E887" s="12"/>
    </row>
    <row r="888" spans="4:5" ht="13.5" customHeight="1" x14ac:dyDescent="0.2">
      <c r="D888" s="12"/>
      <c r="E888" s="12"/>
    </row>
    <row r="889" spans="4:5" ht="13.5" customHeight="1" x14ac:dyDescent="0.2">
      <c r="D889" s="12"/>
      <c r="E889" s="12"/>
    </row>
    <row r="890" spans="4:5" ht="13.5" customHeight="1" x14ac:dyDescent="0.2">
      <c r="D890" s="12"/>
      <c r="E890" s="12"/>
    </row>
    <row r="891" spans="4:5" ht="13.5" customHeight="1" x14ac:dyDescent="0.2">
      <c r="D891" s="12"/>
      <c r="E891" s="12"/>
    </row>
    <row r="892" spans="4:5" ht="13.5" customHeight="1" x14ac:dyDescent="0.2">
      <c r="D892" s="12"/>
      <c r="E892" s="12"/>
    </row>
    <row r="893" spans="4:5" ht="13.5" customHeight="1" x14ac:dyDescent="0.2">
      <c r="D893" s="12"/>
      <c r="E893" s="12"/>
    </row>
    <row r="894" spans="4:5" ht="13.5" customHeight="1" x14ac:dyDescent="0.2">
      <c r="D894" s="12"/>
      <c r="E894" s="12"/>
    </row>
    <row r="895" spans="4:5" ht="13.5" customHeight="1" x14ac:dyDescent="0.2">
      <c r="D895" s="12"/>
      <c r="E895" s="12"/>
    </row>
    <row r="896" spans="4:5" ht="13.5" customHeight="1" x14ac:dyDescent="0.2">
      <c r="D896" s="12"/>
      <c r="E896" s="12"/>
    </row>
    <row r="897" spans="4:5" ht="13.5" customHeight="1" x14ac:dyDescent="0.2">
      <c r="D897" s="12"/>
      <c r="E897" s="12"/>
    </row>
    <row r="898" spans="4:5" ht="13.5" customHeight="1" x14ac:dyDescent="0.2">
      <c r="D898" s="12"/>
      <c r="E898" s="12"/>
    </row>
    <row r="899" spans="4:5" ht="13.5" customHeight="1" x14ac:dyDescent="0.2">
      <c r="D899" s="12"/>
      <c r="E899" s="12"/>
    </row>
    <row r="900" spans="4:5" ht="13.5" customHeight="1" x14ac:dyDescent="0.2">
      <c r="D900" s="12"/>
      <c r="E900" s="12"/>
    </row>
    <row r="901" spans="4:5" ht="13.5" customHeight="1" x14ac:dyDescent="0.2">
      <c r="D901" s="12"/>
      <c r="E901" s="12"/>
    </row>
    <row r="902" spans="4:5" ht="13.5" customHeight="1" x14ac:dyDescent="0.2">
      <c r="D902" s="12"/>
      <c r="E902" s="12"/>
    </row>
    <row r="903" spans="4:5" ht="13.5" customHeight="1" x14ac:dyDescent="0.2">
      <c r="D903" s="12"/>
      <c r="E903" s="12"/>
    </row>
    <row r="904" spans="4:5" ht="13.5" customHeight="1" x14ac:dyDescent="0.2">
      <c r="D904" s="12"/>
      <c r="E904" s="12"/>
    </row>
    <row r="905" spans="4:5" ht="13.5" customHeight="1" x14ac:dyDescent="0.2">
      <c r="D905" s="12"/>
      <c r="E905" s="12"/>
    </row>
    <row r="906" spans="4:5" ht="13.5" customHeight="1" x14ac:dyDescent="0.2">
      <c r="D906" s="12"/>
      <c r="E906" s="12"/>
    </row>
    <row r="907" spans="4:5" ht="13.5" customHeight="1" x14ac:dyDescent="0.2">
      <c r="D907" s="12"/>
      <c r="E907" s="12"/>
    </row>
    <row r="908" spans="4:5" ht="13.5" customHeight="1" x14ac:dyDescent="0.2">
      <c r="D908" s="12"/>
      <c r="E908" s="12"/>
    </row>
    <row r="909" spans="4:5" ht="13.5" customHeight="1" x14ac:dyDescent="0.2">
      <c r="D909" s="12"/>
      <c r="E909" s="12"/>
    </row>
    <row r="910" spans="4:5" ht="13.5" customHeight="1" x14ac:dyDescent="0.2">
      <c r="D910" s="12"/>
      <c r="E910" s="12"/>
    </row>
    <row r="911" spans="4:5" ht="13.5" customHeight="1" x14ac:dyDescent="0.2">
      <c r="D911" s="12"/>
      <c r="E911" s="12"/>
    </row>
    <row r="912" spans="4:5" ht="13.5" customHeight="1" x14ac:dyDescent="0.2">
      <c r="D912" s="12"/>
      <c r="E912" s="12"/>
    </row>
    <row r="913" spans="4:5" ht="13.5" customHeight="1" x14ac:dyDescent="0.2">
      <c r="D913" s="12"/>
      <c r="E913" s="12"/>
    </row>
    <row r="914" spans="4:5" ht="13.5" customHeight="1" x14ac:dyDescent="0.2">
      <c r="D914" s="12"/>
      <c r="E914" s="12"/>
    </row>
    <row r="915" spans="4:5" ht="13.5" customHeight="1" x14ac:dyDescent="0.2">
      <c r="D915" s="12"/>
      <c r="E915" s="12"/>
    </row>
    <row r="916" spans="4:5" ht="13.5" customHeight="1" x14ac:dyDescent="0.2">
      <c r="D916" s="12"/>
      <c r="E916" s="12"/>
    </row>
    <row r="917" spans="4:5" ht="13.5" customHeight="1" x14ac:dyDescent="0.2">
      <c r="D917" s="12"/>
      <c r="E917" s="12"/>
    </row>
    <row r="918" spans="4:5" ht="13.5" customHeight="1" x14ac:dyDescent="0.2">
      <c r="D918" s="12"/>
      <c r="E918" s="12"/>
    </row>
    <row r="919" spans="4:5" ht="13.5" customHeight="1" x14ac:dyDescent="0.2">
      <c r="D919" s="12"/>
      <c r="E919" s="12"/>
    </row>
    <row r="920" spans="4:5" ht="13.5" customHeight="1" x14ac:dyDescent="0.2">
      <c r="D920" s="12"/>
      <c r="E920" s="12"/>
    </row>
    <row r="921" spans="4:5" ht="13.5" customHeight="1" x14ac:dyDescent="0.2">
      <c r="D921" s="12"/>
      <c r="E921" s="12"/>
    </row>
    <row r="922" spans="4:5" ht="13.5" customHeight="1" x14ac:dyDescent="0.2">
      <c r="D922" s="12"/>
      <c r="E922" s="12"/>
    </row>
    <row r="923" spans="4:5" ht="13.5" customHeight="1" x14ac:dyDescent="0.2">
      <c r="D923" s="12"/>
      <c r="E923" s="12"/>
    </row>
    <row r="924" spans="4:5" ht="13.5" customHeight="1" x14ac:dyDescent="0.2">
      <c r="D924" s="12"/>
      <c r="E924" s="12"/>
    </row>
    <row r="925" spans="4:5" ht="13.5" customHeight="1" x14ac:dyDescent="0.2">
      <c r="D925" s="12"/>
      <c r="E925" s="12"/>
    </row>
    <row r="926" spans="4:5" ht="13.5" customHeight="1" x14ac:dyDescent="0.2">
      <c r="D926" s="12"/>
      <c r="E926" s="12"/>
    </row>
    <row r="927" spans="4:5" ht="13.5" customHeight="1" x14ac:dyDescent="0.2">
      <c r="D927" s="12"/>
      <c r="E927" s="12"/>
    </row>
    <row r="928" spans="4:5" ht="13.5" customHeight="1" x14ac:dyDescent="0.2">
      <c r="D928" s="12"/>
      <c r="E928" s="12"/>
    </row>
    <row r="929" spans="4:5" ht="13.5" customHeight="1" x14ac:dyDescent="0.2">
      <c r="D929" s="12"/>
      <c r="E929" s="12"/>
    </row>
    <row r="930" spans="4:5" ht="13.5" customHeight="1" x14ac:dyDescent="0.2">
      <c r="D930" s="12"/>
      <c r="E930" s="12"/>
    </row>
    <row r="931" spans="4:5" ht="13.5" customHeight="1" x14ac:dyDescent="0.2">
      <c r="D931" s="12"/>
      <c r="E931" s="12"/>
    </row>
    <row r="932" spans="4:5" ht="13.5" customHeight="1" x14ac:dyDescent="0.2">
      <c r="D932" s="12"/>
      <c r="E932" s="12"/>
    </row>
    <row r="933" spans="4:5" ht="13.5" customHeight="1" x14ac:dyDescent="0.2">
      <c r="D933" s="12"/>
      <c r="E933" s="12"/>
    </row>
    <row r="934" spans="4:5" ht="13.5" customHeight="1" x14ac:dyDescent="0.2">
      <c r="D934" s="12"/>
      <c r="E934" s="12"/>
    </row>
    <row r="935" spans="4:5" ht="13.5" customHeight="1" x14ac:dyDescent="0.2">
      <c r="D935" s="12"/>
      <c r="E935" s="12"/>
    </row>
    <row r="936" spans="4:5" ht="13.5" customHeight="1" x14ac:dyDescent="0.2">
      <c r="D936" s="12"/>
      <c r="E936" s="12"/>
    </row>
    <row r="937" spans="4:5" ht="13.5" customHeight="1" x14ac:dyDescent="0.2">
      <c r="D937" s="12"/>
      <c r="E937" s="12"/>
    </row>
    <row r="938" spans="4:5" ht="13.5" customHeight="1" x14ac:dyDescent="0.2">
      <c r="D938" s="12"/>
      <c r="E938" s="12"/>
    </row>
    <row r="939" spans="4:5" ht="13.5" customHeight="1" x14ac:dyDescent="0.2">
      <c r="D939" s="12"/>
      <c r="E939" s="12"/>
    </row>
    <row r="940" spans="4:5" ht="13.5" customHeight="1" x14ac:dyDescent="0.2">
      <c r="D940" s="12"/>
      <c r="E940" s="12"/>
    </row>
    <row r="941" spans="4:5" ht="13.5" customHeight="1" x14ac:dyDescent="0.2">
      <c r="D941" s="12"/>
      <c r="E941" s="12"/>
    </row>
    <row r="942" spans="4:5" ht="13.5" customHeight="1" x14ac:dyDescent="0.2">
      <c r="D942" s="12"/>
      <c r="E942" s="12"/>
    </row>
    <row r="943" spans="4:5" ht="13.5" customHeight="1" x14ac:dyDescent="0.2">
      <c r="D943" s="12"/>
      <c r="E943" s="12"/>
    </row>
    <row r="944" spans="4:5" ht="13.5" customHeight="1" x14ac:dyDescent="0.2">
      <c r="D944" s="12"/>
      <c r="E944" s="12"/>
    </row>
    <row r="945" spans="4:5" ht="13.5" customHeight="1" x14ac:dyDescent="0.2">
      <c r="D945" s="12"/>
      <c r="E945" s="12"/>
    </row>
    <row r="946" spans="4:5" ht="13.5" customHeight="1" x14ac:dyDescent="0.2">
      <c r="D946" s="12"/>
      <c r="E946" s="12"/>
    </row>
    <row r="947" spans="4:5" ht="13.5" customHeight="1" x14ac:dyDescent="0.2">
      <c r="D947" s="12"/>
      <c r="E947" s="12"/>
    </row>
    <row r="948" spans="4:5" ht="13.5" customHeight="1" x14ac:dyDescent="0.2">
      <c r="D948" s="12"/>
      <c r="E948" s="12"/>
    </row>
    <row r="949" spans="4:5" ht="13.5" customHeight="1" x14ac:dyDescent="0.2">
      <c r="D949" s="12"/>
      <c r="E949" s="12"/>
    </row>
    <row r="950" spans="4:5" ht="13.5" customHeight="1" x14ac:dyDescent="0.2">
      <c r="D950" s="12"/>
      <c r="E950" s="12"/>
    </row>
    <row r="951" spans="4:5" ht="13.5" customHeight="1" x14ac:dyDescent="0.2">
      <c r="D951" s="12"/>
      <c r="E951" s="12"/>
    </row>
    <row r="952" spans="4:5" ht="13.5" customHeight="1" x14ac:dyDescent="0.2">
      <c r="D952" s="12"/>
      <c r="E952" s="12"/>
    </row>
    <row r="953" spans="4:5" ht="13.5" customHeight="1" x14ac:dyDescent="0.2">
      <c r="D953" s="12"/>
      <c r="E953" s="12"/>
    </row>
    <row r="954" spans="4:5" ht="13.5" customHeight="1" x14ac:dyDescent="0.2">
      <c r="D954" s="12"/>
      <c r="E954" s="12"/>
    </row>
    <row r="955" spans="4:5" ht="13.5" customHeight="1" x14ac:dyDescent="0.2">
      <c r="D955" s="12"/>
      <c r="E955" s="12"/>
    </row>
    <row r="956" spans="4:5" ht="13.5" customHeight="1" x14ac:dyDescent="0.2">
      <c r="D956" s="12"/>
      <c r="E956" s="12"/>
    </row>
    <row r="957" spans="4:5" ht="13.5" customHeight="1" x14ac:dyDescent="0.2">
      <c r="D957" s="12"/>
      <c r="E957" s="12"/>
    </row>
    <row r="958" spans="4:5" ht="13.5" customHeight="1" x14ac:dyDescent="0.2">
      <c r="D958" s="12"/>
      <c r="E958" s="12"/>
    </row>
    <row r="959" spans="4:5" ht="13.5" customHeight="1" x14ac:dyDescent="0.2">
      <c r="D959" s="12"/>
      <c r="E959" s="12"/>
    </row>
    <row r="960" spans="4:5" ht="13.5" customHeight="1" x14ac:dyDescent="0.2">
      <c r="D960" s="12"/>
      <c r="E960" s="12"/>
    </row>
    <row r="961" spans="4:5" ht="13.5" customHeight="1" x14ac:dyDescent="0.2">
      <c r="D961" s="12"/>
      <c r="E961" s="12"/>
    </row>
    <row r="962" spans="4:5" ht="13.5" customHeight="1" x14ac:dyDescent="0.2">
      <c r="D962" s="12"/>
      <c r="E962" s="12"/>
    </row>
    <row r="963" spans="4:5" ht="13.5" customHeight="1" x14ac:dyDescent="0.2">
      <c r="D963" s="12"/>
      <c r="E963" s="12"/>
    </row>
    <row r="964" spans="4:5" ht="13.5" customHeight="1" x14ac:dyDescent="0.2">
      <c r="D964" s="12"/>
      <c r="E964" s="12"/>
    </row>
    <row r="965" spans="4:5" ht="13.5" customHeight="1" x14ac:dyDescent="0.2">
      <c r="D965" s="12"/>
      <c r="E965" s="12"/>
    </row>
    <row r="966" spans="4:5" ht="13.5" customHeight="1" x14ac:dyDescent="0.2">
      <c r="D966" s="12"/>
      <c r="E966" s="12"/>
    </row>
    <row r="967" spans="4:5" ht="13.5" customHeight="1" x14ac:dyDescent="0.2">
      <c r="D967" s="12"/>
      <c r="E967" s="12"/>
    </row>
    <row r="968" spans="4:5" ht="13.5" customHeight="1" x14ac:dyDescent="0.2">
      <c r="D968" s="12"/>
      <c r="E968" s="12"/>
    </row>
    <row r="969" spans="4:5" ht="13.5" customHeight="1" x14ac:dyDescent="0.2">
      <c r="D969" s="12"/>
      <c r="E969" s="12"/>
    </row>
    <row r="970" spans="4:5" ht="13.5" customHeight="1" x14ac:dyDescent="0.2">
      <c r="D970" s="12"/>
      <c r="E970" s="12"/>
    </row>
    <row r="971" spans="4:5" ht="13.5" customHeight="1" x14ac:dyDescent="0.2">
      <c r="D971" s="12"/>
      <c r="E971" s="12"/>
    </row>
    <row r="972" spans="4:5" ht="13.5" customHeight="1" x14ac:dyDescent="0.2">
      <c r="D972" s="12"/>
      <c r="E972" s="12"/>
    </row>
    <row r="973" spans="4:5" ht="13.5" customHeight="1" x14ac:dyDescent="0.2">
      <c r="D973" s="12"/>
      <c r="E973" s="12"/>
    </row>
    <row r="974" spans="4:5" ht="13.5" customHeight="1" x14ac:dyDescent="0.2">
      <c r="D974" s="12"/>
      <c r="E974" s="12"/>
    </row>
    <row r="975" spans="4:5" ht="13.5" customHeight="1" x14ac:dyDescent="0.2">
      <c r="D975" s="12"/>
      <c r="E975" s="12"/>
    </row>
    <row r="976" spans="4:5" ht="13.5" customHeight="1" x14ac:dyDescent="0.2">
      <c r="D976" s="12"/>
      <c r="E976" s="12"/>
    </row>
    <row r="977" spans="4:5" ht="13.5" customHeight="1" x14ac:dyDescent="0.2">
      <c r="D977" s="12"/>
      <c r="E977" s="12"/>
    </row>
    <row r="978" spans="4:5" ht="13.5" customHeight="1" x14ac:dyDescent="0.2">
      <c r="D978" s="12"/>
      <c r="E978" s="12"/>
    </row>
    <row r="979" spans="4:5" ht="13.5" customHeight="1" x14ac:dyDescent="0.2">
      <c r="D979" s="12"/>
      <c r="E979" s="12"/>
    </row>
    <row r="980" spans="4:5" ht="13.5" customHeight="1" x14ac:dyDescent="0.2">
      <c r="D980" s="12"/>
      <c r="E980" s="12"/>
    </row>
    <row r="981" spans="4:5" ht="13.5" customHeight="1" x14ac:dyDescent="0.2">
      <c r="D981" s="12"/>
      <c r="E981" s="12"/>
    </row>
    <row r="982" spans="4:5" ht="13.5" customHeight="1" x14ac:dyDescent="0.2">
      <c r="D982" s="12"/>
      <c r="E982" s="12"/>
    </row>
    <row r="983" spans="4:5" ht="13.5" customHeight="1" x14ac:dyDescent="0.2">
      <c r="D983" s="12"/>
      <c r="E983" s="12"/>
    </row>
    <row r="984" spans="4:5" ht="13.5" customHeight="1" x14ac:dyDescent="0.2">
      <c r="D984" s="12"/>
      <c r="E984" s="12"/>
    </row>
    <row r="985" spans="4:5" ht="13.5" customHeight="1" x14ac:dyDescent="0.2">
      <c r="D985" s="12"/>
      <c r="E985" s="12"/>
    </row>
    <row r="986" spans="4:5" ht="13.5" customHeight="1" x14ac:dyDescent="0.2">
      <c r="D986" s="12"/>
      <c r="E986" s="12"/>
    </row>
    <row r="987" spans="4:5" ht="13.5" customHeight="1" x14ac:dyDescent="0.2">
      <c r="D987" s="12"/>
      <c r="E987" s="12"/>
    </row>
    <row r="988" spans="4:5" ht="13.5" customHeight="1" x14ac:dyDescent="0.2">
      <c r="D988" s="12"/>
      <c r="E988" s="12"/>
    </row>
    <row r="989" spans="4:5" ht="13.5" customHeight="1" x14ac:dyDescent="0.2">
      <c r="D989" s="12"/>
      <c r="E989" s="12"/>
    </row>
    <row r="990" spans="4:5" ht="13.5" customHeight="1" x14ac:dyDescent="0.2">
      <c r="D990" s="12"/>
      <c r="E990" s="12"/>
    </row>
    <row r="991" spans="4:5" ht="13.5" customHeight="1" x14ac:dyDescent="0.2">
      <c r="D991" s="12"/>
      <c r="E991" s="12"/>
    </row>
    <row r="992" spans="4:5" ht="13.5" customHeight="1" x14ac:dyDescent="0.2">
      <c r="D992" s="12"/>
      <c r="E992" s="12"/>
    </row>
    <row r="993" spans="4:5" ht="13.5" customHeight="1" x14ac:dyDescent="0.2">
      <c r="D993" s="12"/>
      <c r="E993" s="12"/>
    </row>
    <row r="994" spans="4:5" ht="13.5" customHeight="1" x14ac:dyDescent="0.2">
      <c r="D994" s="12"/>
      <c r="E994" s="12"/>
    </row>
    <row r="995" spans="4:5" ht="13.5" customHeight="1" x14ac:dyDescent="0.2">
      <c r="D995" s="12"/>
      <c r="E995" s="12"/>
    </row>
    <row r="996" spans="4:5" ht="13.5" customHeight="1" x14ac:dyDescent="0.2">
      <c r="D996" s="12"/>
      <c r="E996" s="12"/>
    </row>
    <row r="997" spans="4:5" ht="13.5" customHeight="1" x14ac:dyDescent="0.2">
      <c r="D997" s="12"/>
      <c r="E997" s="12"/>
    </row>
    <row r="998" spans="4:5" ht="13.5" customHeight="1" x14ac:dyDescent="0.2">
      <c r="D998" s="12"/>
      <c r="E998" s="12"/>
    </row>
    <row r="999" spans="4:5" ht="13.5" customHeight="1" x14ac:dyDescent="0.2">
      <c r="D999" s="12"/>
      <c r="E999" s="12"/>
    </row>
    <row r="1000" spans="4:5" ht="13.5" customHeight="1" x14ac:dyDescent="0.2">
      <c r="D1000" s="12"/>
      <c r="E1000" s="12"/>
    </row>
  </sheetData>
  <autoFilter ref="A1:X80" xr:uid="{00000000-0001-0000-0200-000000000000}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5120-0FE3-4948-A088-97B5B040FD6D}">
  <sheetPr>
    <outlinePr summaryBelow="0" summaryRight="0"/>
  </sheetPr>
  <dimension ref="A1:V101"/>
  <sheetViews>
    <sheetView zoomScale="110" workbookViewId="0">
      <selection activeCell="D1" sqref="D1"/>
    </sheetView>
  </sheetViews>
  <sheetFormatPr baseColWidth="10" defaultColWidth="15.19921875" defaultRowHeight="15.75" customHeight="1" x14ac:dyDescent="0.2"/>
  <cols>
    <col min="1" max="1" width="15.19921875" style="33"/>
    <col min="2" max="2" width="30.3984375" style="33" customWidth="1"/>
    <col min="3" max="3" width="24.19921875" style="33" customWidth="1"/>
    <col min="4" max="16384" width="15.19921875" style="33"/>
  </cols>
  <sheetData>
    <row r="1" spans="1:22" ht="15.75" customHeight="1" x14ac:dyDescent="0.2">
      <c r="A1" s="32" t="s">
        <v>584</v>
      </c>
      <c r="B1" s="32" t="s">
        <v>585</v>
      </c>
      <c r="C1" s="32" t="s">
        <v>721</v>
      </c>
      <c r="D1" s="32" t="s">
        <v>722</v>
      </c>
      <c r="E1" s="32" t="s">
        <v>726</v>
      </c>
      <c r="F1" s="32" t="s">
        <v>586</v>
      </c>
      <c r="G1" s="32"/>
      <c r="H1" s="35" t="s">
        <v>722</v>
      </c>
      <c r="I1" s="50" t="s">
        <v>723</v>
      </c>
      <c r="J1" s="36" t="s">
        <v>724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ht="15.75" customHeight="1" x14ac:dyDescent="0.2">
      <c r="A2" s="34" t="s">
        <v>587</v>
      </c>
      <c r="B2" s="34">
        <v>1.5</v>
      </c>
      <c r="C2" s="33" t="str">
        <f>LEFT(A2,1)</f>
        <v>A</v>
      </c>
      <c r="D2" s="33">
        <f>IF(C2&lt;="F",0,IF(B2&lt;="M",1,2))</f>
        <v>0</v>
      </c>
      <c r="E2" s="33">
        <f>B2/0.5</f>
        <v>3</v>
      </c>
      <c r="F2" s="49">
        <f>IF(D2=0,E2*2,IF(D2=1,E2*1.5,E2))</f>
        <v>6</v>
      </c>
      <c r="H2" s="46">
        <v>0</v>
      </c>
      <c r="I2" s="33">
        <v>2</v>
      </c>
      <c r="J2" s="51">
        <v>30.020833333333332</v>
      </c>
    </row>
    <row r="3" spans="1:22" ht="15.75" customHeight="1" x14ac:dyDescent="0.2">
      <c r="A3" s="34" t="s">
        <v>588</v>
      </c>
      <c r="B3" s="34">
        <v>2.5</v>
      </c>
      <c r="C3" s="33" t="str">
        <f t="shared" ref="C3:C66" si="0">LEFT(A3,1)</f>
        <v>L</v>
      </c>
      <c r="D3" s="33">
        <f t="shared" ref="D3:D66" si="1">IF(C3&lt;="F",0,IF(B3&lt;="M",1,2))</f>
        <v>1</v>
      </c>
      <c r="E3" s="33">
        <f t="shared" ref="E3:E66" si="2">B3/0.5</f>
        <v>5</v>
      </c>
      <c r="F3" s="49">
        <f t="shared" ref="F3:F66" si="3">IF(D3=0,E3*2,IF(D3=1,E3*1.5,E3))</f>
        <v>7.5</v>
      </c>
      <c r="H3" s="46">
        <v>1</v>
      </c>
      <c r="I3" s="33">
        <v>1.5</v>
      </c>
      <c r="J3" s="51">
        <v>30.020833333333332</v>
      </c>
    </row>
    <row r="4" spans="1:22" ht="15.75" customHeight="1" thickBot="1" x14ac:dyDescent="0.25">
      <c r="A4" s="34" t="s">
        <v>589</v>
      </c>
      <c r="B4" s="34">
        <v>3.5</v>
      </c>
      <c r="C4" s="33" t="str">
        <f t="shared" si="0"/>
        <v>P</v>
      </c>
      <c r="D4" s="33">
        <f t="shared" si="1"/>
        <v>1</v>
      </c>
      <c r="E4" s="33">
        <f t="shared" si="2"/>
        <v>7</v>
      </c>
      <c r="F4" s="49">
        <f t="shared" si="3"/>
        <v>10.5</v>
      </c>
      <c r="H4" s="47">
        <v>2</v>
      </c>
      <c r="I4" s="48">
        <v>2</v>
      </c>
      <c r="J4" s="52">
        <v>1.0416666666666667</v>
      </c>
      <c r="K4" s="33" t="s">
        <v>725</v>
      </c>
    </row>
    <row r="5" spans="1:22" ht="15.75" customHeight="1" x14ac:dyDescent="0.2">
      <c r="A5" s="34" t="s">
        <v>590</v>
      </c>
      <c r="B5" s="34">
        <v>4.5</v>
      </c>
      <c r="C5" s="33" t="str">
        <f t="shared" si="0"/>
        <v>U</v>
      </c>
      <c r="D5" s="33">
        <f t="shared" si="1"/>
        <v>1</v>
      </c>
      <c r="E5" s="33">
        <f t="shared" si="2"/>
        <v>9</v>
      </c>
      <c r="F5" s="49">
        <f t="shared" si="3"/>
        <v>13.5</v>
      </c>
    </row>
    <row r="6" spans="1:22" ht="15.75" customHeight="1" x14ac:dyDescent="0.2">
      <c r="A6" s="34" t="s">
        <v>591</v>
      </c>
      <c r="B6" s="34">
        <v>5.5</v>
      </c>
      <c r="C6" s="33" t="str">
        <f t="shared" si="0"/>
        <v>W</v>
      </c>
      <c r="D6" s="33">
        <f t="shared" si="1"/>
        <v>1</v>
      </c>
      <c r="E6" s="33">
        <f t="shared" si="2"/>
        <v>11</v>
      </c>
      <c r="F6" s="49">
        <f t="shared" si="3"/>
        <v>16.5</v>
      </c>
    </row>
    <row r="7" spans="1:22" ht="15.75" customHeight="1" x14ac:dyDescent="0.2">
      <c r="A7" s="34" t="s">
        <v>592</v>
      </c>
      <c r="B7" s="34">
        <v>6.5</v>
      </c>
      <c r="C7" s="33" t="str">
        <f t="shared" si="0"/>
        <v>Y</v>
      </c>
      <c r="D7" s="33">
        <f t="shared" si="1"/>
        <v>1</v>
      </c>
      <c r="E7" s="33">
        <f t="shared" si="2"/>
        <v>13</v>
      </c>
      <c r="F7" s="49">
        <f t="shared" si="3"/>
        <v>19.5</v>
      </c>
    </row>
    <row r="8" spans="1:22" ht="15.75" customHeight="1" x14ac:dyDescent="0.2">
      <c r="A8" s="34" t="s">
        <v>593</v>
      </c>
      <c r="B8" s="34">
        <v>7.5</v>
      </c>
      <c r="C8" s="33" t="str">
        <f t="shared" si="0"/>
        <v>A</v>
      </c>
      <c r="D8" s="33">
        <f t="shared" si="1"/>
        <v>0</v>
      </c>
      <c r="E8" s="33">
        <f t="shared" si="2"/>
        <v>15</v>
      </c>
      <c r="F8" s="49">
        <f t="shared" si="3"/>
        <v>30</v>
      </c>
    </row>
    <row r="9" spans="1:22" ht="15.75" customHeight="1" x14ac:dyDescent="0.2">
      <c r="A9" s="34" t="s">
        <v>594</v>
      </c>
      <c r="B9" s="34">
        <v>8.5</v>
      </c>
      <c r="C9" s="33" t="str">
        <f t="shared" si="0"/>
        <v>C</v>
      </c>
      <c r="D9" s="33">
        <f t="shared" si="1"/>
        <v>0</v>
      </c>
      <c r="E9" s="33">
        <f t="shared" si="2"/>
        <v>17</v>
      </c>
      <c r="F9" s="49">
        <f t="shared" si="3"/>
        <v>34</v>
      </c>
    </row>
    <row r="10" spans="1:22" ht="15.75" customHeight="1" x14ac:dyDescent="0.2">
      <c r="A10" s="34" t="s">
        <v>595</v>
      </c>
      <c r="B10" s="34">
        <v>9.5</v>
      </c>
      <c r="C10" s="33" t="str">
        <f t="shared" si="0"/>
        <v>E</v>
      </c>
      <c r="D10" s="33">
        <f t="shared" si="1"/>
        <v>0</v>
      </c>
      <c r="E10" s="33">
        <f t="shared" si="2"/>
        <v>19</v>
      </c>
      <c r="F10" s="49">
        <f t="shared" si="3"/>
        <v>38</v>
      </c>
    </row>
    <row r="11" spans="1:22" ht="15.75" customHeight="1" x14ac:dyDescent="0.2">
      <c r="A11" s="34" t="s">
        <v>596</v>
      </c>
      <c r="B11" s="34">
        <v>10</v>
      </c>
      <c r="C11" s="33" t="str">
        <f t="shared" si="0"/>
        <v>G</v>
      </c>
      <c r="D11" s="33">
        <f t="shared" si="1"/>
        <v>1</v>
      </c>
      <c r="E11" s="33">
        <f t="shared" si="2"/>
        <v>20</v>
      </c>
      <c r="F11" s="49">
        <f t="shared" si="3"/>
        <v>30</v>
      </c>
    </row>
    <row r="12" spans="1:22" ht="15.75" customHeight="1" x14ac:dyDescent="0.2">
      <c r="A12" s="34" t="s">
        <v>597</v>
      </c>
      <c r="B12" s="34">
        <v>0.5</v>
      </c>
      <c r="C12" s="33" t="str">
        <f t="shared" si="0"/>
        <v>I</v>
      </c>
      <c r="D12" s="33">
        <f t="shared" si="1"/>
        <v>1</v>
      </c>
      <c r="E12" s="33">
        <f t="shared" si="2"/>
        <v>1</v>
      </c>
      <c r="F12" s="49">
        <f t="shared" si="3"/>
        <v>1.5</v>
      </c>
    </row>
    <row r="13" spans="1:22" ht="15.75" customHeight="1" x14ac:dyDescent="0.2">
      <c r="A13" s="34" t="s">
        <v>598</v>
      </c>
      <c r="B13" s="34">
        <v>1</v>
      </c>
      <c r="C13" s="33" t="str">
        <f t="shared" si="0"/>
        <v>K</v>
      </c>
      <c r="D13" s="33">
        <f t="shared" si="1"/>
        <v>1</v>
      </c>
      <c r="E13" s="33">
        <f t="shared" si="2"/>
        <v>2</v>
      </c>
      <c r="F13" s="49">
        <f t="shared" si="3"/>
        <v>3</v>
      </c>
    </row>
    <row r="14" spans="1:22" ht="15.75" customHeight="1" x14ac:dyDescent="0.2">
      <c r="A14" s="34" t="s">
        <v>599</v>
      </c>
      <c r="B14" s="34">
        <v>2</v>
      </c>
      <c r="C14" s="33" t="str">
        <f t="shared" si="0"/>
        <v>M</v>
      </c>
      <c r="D14" s="33">
        <f t="shared" si="1"/>
        <v>1</v>
      </c>
      <c r="E14" s="33">
        <f t="shared" si="2"/>
        <v>4</v>
      </c>
      <c r="F14" s="49">
        <f t="shared" si="3"/>
        <v>6</v>
      </c>
    </row>
    <row r="15" spans="1:22" ht="15.75" customHeight="1" x14ac:dyDescent="0.2">
      <c r="A15" s="34" t="s">
        <v>600</v>
      </c>
      <c r="B15" s="34">
        <v>3</v>
      </c>
      <c r="C15" s="33" t="str">
        <f t="shared" si="0"/>
        <v>O</v>
      </c>
      <c r="D15" s="33">
        <f t="shared" si="1"/>
        <v>1</v>
      </c>
      <c r="E15" s="33">
        <f t="shared" si="2"/>
        <v>6</v>
      </c>
      <c r="F15" s="49">
        <f t="shared" si="3"/>
        <v>9</v>
      </c>
    </row>
    <row r="16" spans="1:22" ht="15.75" customHeight="1" x14ac:dyDescent="0.2">
      <c r="A16" s="34" t="s">
        <v>601</v>
      </c>
      <c r="B16" s="34">
        <v>4</v>
      </c>
      <c r="C16" s="33" t="str">
        <f t="shared" si="0"/>
        <v>Q</v>
      </c>
      <c r="D16" s="33">
        <f t="shared" si="1"/>
        <v>1</v>
      </c>
      <c r="E16" s="33">
        <f t="shared" si="2"/>
        <v>8</v>
      </c>
      <c r="F16" s="49">
        <f t="shared" si="3"/>
        <v>12</v>
      </c>
    </row>
    <row r="17" spans="1:6" ht="15.75" customHeight="1" x14ac:dyDescent="0.2">
      <c r="A17" s="34" t="s">
        <v>602</v>
      </c>
      <c r="B17" s="34">
        <v>5</v>
      </c>
      <c r="C17" s="33" t="str">
        <f t="shared" si="0"/>
        <v>S</v>
      </c>
      <c r="D17" s="33">
        <f t="shared" si="1"/>
        <v>1</v>
      </c>
      <c r="E17" s="33">
        <f t="shared" si="2"/>
        <v>10</v>
      </c>
      <c r="F17" s="49">
        <f t="shared" si="3"/>
        <v>15</v>
      </c>
    </row>
    <row r="18" spans="1:6" ht="15.75" customHeight="1" x14ac:dyDescent="0.2">
      <c r="A18" s="34" t="s">
        <v>603</v>
      </c>
      <c r="B18" s="34">
        <v>6</v>
      </c>
      <c r="C18" s="33" t="str">
        <f t="shared" si="0"/>
        <v>U</v>
      </c>
      <c r="D18" s="33">
        <f t="shared" si="1"/>
        <v>1</v>
      </c>
      <c r="E18" s="33">
        <f t="shared" si="2"/>
        <v>12</v>
      </c>
      <c r="F18" s="49">
        <f t="shared" si="3"/>
        <v>18</v>
      </c>
    </row>
    <row r="19" spans="1:6" ht="15.75" customHeight="1" x14ac:dyDescent="0.2">
      <c r="A19" s="34" t="s">
        <v>604</v>
      </c>
      <c r="B19" s="34">
        <v>7</v>
      </c>
      <c r="C19" s="33" t="str">
        <f t="shared" si="0"/>
        <v>W</v>
      </c>
      <c r="D19" s="33">
        <f t="shared" si="1"/>
        <v>1</v>
      </c>
      <c r="E19" s="33">
        <f t="shared" si="2"/>
        <v>14</v>
      </c>
      <c r="F19" s="49">
        <f t="shared" si="3"/>
        <v>21</v>
      </c>
    </row>
    <row r="20" spans="1:6" ht="15.75" customHeight="1" x14ac:dyDescent="0.2">
      <c r="A20" s="34" t="s">
        <v>605</v>
      </c>
      <c r="B20" s="34">
        <v>8</v>
      </c>
      <c r="C20" s="33" t="str">
        <f t="shared" si="0"/>
        <v>Y</v>
      </c>
      <c r="D20" s="33">
        <f t="shared" si="1"/>
        <v>1</v>
      </c>
      <c r="E20" s="33">
        <f t="shared" si="2"/>
        <v>16</v>
      </c>
      <c r="F20" s="49">
        <f t="shared" si="3"/>
        <v>24</v>
      </c>
    </row>
    <row r="21" spans="1:6" ht="15.75" customHeight="1" x14ac:dyDescent="0.2">
      <c r="A21" s="34" t="s">
        <v>606</v>
      </c>
      <c r="B21" s="34">
        <v>9</v>
      </c>
      <c r="C21" s="33" t="str">
        <f t="shared" si="0"/>
        <v>A</v>
      </c>
      <c r="D21" s="33">
        <f t="shared" si="1"/>
        <v>0</v>
      </c>
      <c r="E21" s="33">
        <f t="shared" si="2"/>
        <v>18</v>
      </c>
      <c r="F21" s="49">
        <f t="shared" si="3"/>
        <v>36</v>
      </c>
    </row>
    <row r="22" spans="1:6" ht="15.75" customHeight="1" x14ac:dyDescent="0.2">
      <c r="A22" s="34" t="s">
        <v>607</v>
      </c>
      <c r="B22" s="34">
        <v>10</v>
      </c>
      <c r="C22" s="33" t="str">
        <f t="shared" si="0"/>
        <v>C</v>
      </c>
      <c r="D22" s="33">
        <f t="shared" si="1"/>
        <v>0</v>
      </c>
      <c r="E22" s="33">
        <f t="shared" si="2"/>
        <v>20</v>
      </c>
      <c r="F22" s="49">
        <f t="shared" si="3"/>
        <v>40</v>
      </c>
    </row>
    <row r="23" spans="1:6" ht="15.75" customHeight="1" x14ac:dyDescent="0.2">
      <c r="A23" s="34" t="s">
        <v>608</v>
      </c>
      <c r="B23" s="34">
        <v>0.5</v>
      </c>
      <c r="C23" s="33" t="str">
        <f t="shared" si="0"/>
        <v>E</v>
      </c>
      <c r="D23" s="33">
        <f t="shared" si="1"/>
        <v>0</v>
      </c>
      <c r="E23" s="33">
        <f t="shared" si="2"/>
        <v>1</v>
      </c>
      <c r="F23" s="49">
        <f t="shared" si="3"/>
        <v>2</v>
      </c>
    </row>
    <row r="24" spans="1:6" ht="15.75" customHeight="1" x14ac:dyDescent="0.2">
      <c r="A24" s="34" t="s">
        <v>609</v>
      </c>
      <c r="B24" s="34">
        <v>1</v>
      </c>
      <c r="C24" s="33" t="str">
        <f t="shared" si="0"/>
        <v>G</v>
      </c>
      <c r="D24" s="33">
        <f t="shared" si="1"/>
        <v>1</v>
      </c>
      <c r="E24" s="33">
        <f t="shared" si="2"/>
        <v>2</v>
      </c>
      <c r="F24" s="49">
        <f t="shared" si="3"/>
        <v>3</v>
      </c>
    </row>
    <row r="25" spans="1:6" ht="15.75" customHeight="1" x14ac:dyDescent="0.2">
      <c r="A25" s="34" t="s">
        <v>610</v>
      </c>
      <c r="B25" s="34">
        <v>2</v>
      </c>
      <c r="C25" s="33" t="str">
        <f t="shared" si="0"/>
        <v>I</v>
      </c>
      <c r="D25" s="33">
        <f t="shared" si="1"/>
        <v>1</v>
      </c>
      <c r="E25" s="33">
        <f t="shared" si="2"/>
        <v>4</v>
      </c>
      <c r="F25" s="49">
        <f t="shared" si="3"/>
        <v>6</v>
      </c>
    </row>
    <row r="26" spans="1:6" ht="15.75" customHeight="1" x14ac:dyDescent="0.2">
      <c r="A26" s="34" t="s">
        <v>611</v>
      </c>
      <c r="B26" s="34">
        <v>3</v>
      </c>
      <c r="C26" s="33" t="str">
        <f t="shared" si="0"/>
        <v>K</v>
      </c>
      <c r="D26" s="33">
        <f t="shared" si="1"/>
        <v>1</v>
      </c>
      <c r="E26" s="33">
        <f t="shared" si="2"/>
        <v>6</v>
      </c>
      <c r="F26" s="49">
        <f t="shared" si="3"/>
        <v>9</v>
      </c>
    </row>
    <row r="27" spans="1:6" ht="15.75" customHeight="1" x14ac:dyDescent="0.2">
      <c r="A27" s="34" t="s">
        <v>612</v>
      </c>
      <c r="B27" s="34">
        <v>4</v>
      </c>
      <c r="C27" s="33" t="str">
        <f t="shared" si="0"/>
        <v>M</v>
      </c>
      <c r="D27" s="33">
        <f t="shared" si="1"/>
        <v>1</v>
      </c>
      <c r="E27" s="33">
        <f t="shared" si="2"/>
        <v>8</v>
      </c>
      <c r="F27" s="49">
        <f t="shared" si="3"/>
        <v>12</v>
      </c>
    </row>
    <row r="28" spans="1:6" ht="15.75" customHeight="1" x14ac:dyDescent="0.2">
      <c r="A28" s="34" t="s">
        <v>613</v>
      </c>
      <c r="B28" s="34">
        <v>5</v>
      </c>
      <c r="C28" s="33" t="str">
        <f t="shared" si="0"/>
        <v>O</v>
      </c>
      <c r="D28" s="33">
        <f t="shared" si="1"/>
        <v>1</v>
      </c>
      <c r="E28" s="33">
        <f t="shared" si="2"/>
        <v>10</v>
      </c>
      <c r="F28" s="49">
        <f t="shared" si="3"/>
        <v>15</v>
      </c>
    </row>
    <row r="29" spans="1:6" ht="15.75" customHeight="1" x14ac:dyDescent="0.2">
      <c r="A29" s="34" t="s">
        <v>614</v>
      </c>
      <c r="B29" s="34">
        <v>6</v>
      </c>
      <c r="C29" s="33" t="str">
        <f t="shared" si="0"/>
        <v>Q</v>
      </c>
      <c r="D29" s="33">
        <f t="shared" si="1"/>
        <v>1</v>
      </c>
      <c r="E29" s="33">
        <f t="shared" si="2"/>
        <v>12</v>
      </c>
      <c r="F29" s="49">
        <f t="shared" si="3"/>
        <v>18</v>
      </c>
    </row>
    <row r="30" spans="1:6" ht="15.75" customHeight="1" x14ac:dyDescent="0.2">
      <c r="A30" s="34" t="s">
        <v>615</v>
      </c>
      <c r="B30" s="34">
        <v>7</v>
      </c>
      <c r="C30" s="33" t="str">
        <f t="shared" si="0"/>
        <v>S</v>
      </c>
      <c r="D30" s="33">
        <f t="shared" si="1"/>
        <v>1</v>
      </c>
      <c r="E30" s="33">
        <f t="shared" si="2"/>
        <v>14</v>
      </c>
      <c r="F30" s="49">
        <f t="shared" si="3"/>
        <v>21</v>
      </c>
    </row>
    <row r="31" spans="1:6" ht="15.75" customHeight="1" x14ac:dyDescent="0.2">
      <c r="A31" s="34" t="s">
        <v>616</v>
      </c>
      <c r="B31" s="34">
        <v>8</v>
      </c>
      <c r="C31" s="33" t="str">
        <f t="shared" si="0"/>
        <v>U</v>
      </c>
      <c r="D31" s="33">
        <f t="shared" si="1"/>
        <v>1</v>
      </c>
      <c r="E31" s="33">
        <f t="shared" si="2"/>
        <v>16</v>
      </c>
      <c r="F31" s="49">
        <f t="shared" si="3"/>
        <v>24</v>
      </c>
    </row>
    <row r="32" spans="1:6" ht="15.75" customHeight="1" x14ac:dyDescent="0.2">
      <c r="A32" s="34" t="s">
        <v>617</v>
      </c>
      <c r="B32" s="34">
        <v>9</v>
      </c>
      <c r="C32" s="33" t="str">
        <f t="shared" si="0"/>
        <v>W</v>
      </c>
      <c r="D32" s="33">
        <f t="shared" si="1"/>
        <v>1</v>
      </c>
      <c r="E32" s="33">
        <f t="shared" si="2"/>
        <v>18</v>
      </c>
      <c r="F32" s="49">
        <f t="shared" si="3"/>
        <v>27</v>
      </c>
    </row>
    <row r="33" spans="1:6" ht="15.75" customHeight="1" x14ac:dyDescent="0.2">
      <c r="A33" s="34" t="s">
        <v>618</v>
      </c>
      <c r="B33" s="34">
        <v>10</v>
      </c>
      <c r="C33" s="33" t="str">
        <f t="shared" si="0"/>
        <v>Y</v>
      </c>
      <c r="D33" s="33">
        <f t="shared" si="1"/>
        <v>1</v>
      </c>
      <c r="E33" s="33">
        <f t="shared" si="2"/>
        <v>20</v>
      </c>
      <c r="F33" s="49">
        <f t="shared" si="3"/>
        <v>30</v>
      </c>
    </row>
    <row r="34" spans="1:6" ht="15.75" customHeight="1" x14ac:dyDescent="0.2">
      <c r="A34" s="34" t="s">
        <v>619</v>
      </c>
      <c r="B34" s="34">
        <v>0.5</v>
      </c>
      <c r="C34" s="33" t="str">
        <f t="shared" si="0"/>
        <v>A</v>
      </c>
      <c r="D34" s="33">
        <f t="shared" si="1"/>
        <v>0</v>
      </c>
      <c r="E34" s="33">
        <f t="shared" si="2"/>
        <v>1</v>
      </c>
      <c r="F34" s="49">
        <f t="shared" si="3"/>
        <v>2</v>
      </c>
    </row>
    <row r="35" spans="1:6" ht="15.75" customHeight="1" x14ac:dyDescent="0.2">
      <c r="A35" s="34" t="s">
        <v>620</v>
      </c>
      <c r="B35" s="34">
        <v>1</v>
      </c>
      <c r="C35" s="33" t="str">
        <f t="shared" si="0"/>
        <v>C</v>
      </c>
      <c r="D35" s="33">
        <f t="shared" si="1"/>
        <v>0</v>
      </c>
      <c r="E35" s="33">
        <f t="shared" si="2"/>
        <v>2</v>
      </c>
      <c r="F35" s="49">
        <f t="shared" si="3"/>
        <v>4</v>
      </c>
    </row>
    <row r="36" spans="1:6" ht="15.75" customHeight="1" x14ac:dyDescent="0.2">
      <c r="A36" s="34" t="s">
        <v>621</v>
      </c>
      <c r="B36" s="34">
        <v>2</v>
      </c>
      <c r="C36" s="33" t="str">
        <f t="shared" si="0"/>
        <v>E</v>
      </c>
      <c r="D36" s="33">
        <f t="shared" si="1"/>
        <v>0</v>
      </c>
      <c r="E36" s="33">
        <f t="shared" si="2"/>
        <v>4</v>
      </c>
      <c r="F36" s="49">
        <f t="shared" si="3"/>
        <v>8</v>
      </c>
    </row>
    <row r="37" spans="1:6" ht="15.75" customHeight="1" x14ac:dyDescent="0.2">
      <c r="A37" s="34" t="s">
        <v>622</v>
      </c>
      <c r="B37" s="34">
        <v>3</v>
      </c>
      <c r="C37" s="33" t="str">
        <f t="shared" si="0"/>
        <v>G</v>
      </c>
      <c r="D37" s="33">
        <f t="shared" si="1"/>
        <v>1</v>
      </c>
      <c r="E37" s="33">
        <f t="shared" si="2"/>
        <v>6</v>
      </c>
      <c r="F37" s="49">
        <f t="shared" si="3"/>
        <v>9</v>
      </c>
    </row>
    <row r="38" spans="1:6" ht="15.75" customHeight="1" x14ac:dyDescent="0.2">
      <c r="A38" s="34" t="s">
        <v>623</v>
      </c>
      <c r="B38" s="34">
        <v>4</v>
      </c>
      <c r="C38" s="33" t="str">
        <f t="shared" si="0"/>
        <v>I</v>
      </c>
      <c r="D38" s="33">
        <f t="shared" si="1"/>
        <v>1</v>
      </c>
      <c r="E38" s="33">
        <f t="shared" si="2"/>
        <v>8</v>
      </c>
      <c r="F38" s="49">
        <f t="shared" si="3"/>
        <v>12</v>
      </c>
    </row>
    <row r="39" spans="1:6" ht="15.75" customHeight="1" x14ac:dyDescent="0.2">
      <c r="A39" s="34" t="s">
        <v>624</v>
      </c>
      <c r="B39" s="34">
        <v>5</v>
      </c>
      <c r="C39" s="33" t="str">
        <f t="shared" si="0"/>
        <v>K</v>
      </c>
      <c r="D39" s="33">
        <f t="shared" si="1"/>
        <v>1</v>
      </c>
      <c r="E39" s="33">
        <f t="shared" si="2"/>
        <v>10</v>
      </c>
      <c r="F39" s="49">
        <f t="shared" si="3"/>
        <v>15</v>
      </c>
    </row>
    <row r="40" spans="1:6" ht="15.75" customHeight="1" x14ac:dyDescent="0.2">
      <c r="A40" s="34" t="s">
        <v>625</v>
      </c>
      <c r="B40" s="34">
        <v>6</v>
      </c>
      <c r="C40" s="33" t="str">
        <f t="shared" si="0"/>
        <v>M</v>
      </c>
      <c r="D40" s="33">
        <f t="shared" si="1"/>
        <v>1</v>
      </c>
      <c r="E40" s="33">
        <f t="shared" si="2"/>
        <v>12</v>
      </c>
      <c r="F40" s="49">
        <f t="shared" si="3"/>
        <v>18</v>
      </c>
    </row>
    <row r="41" spans="1:6" ht="15.75" customHeight="1" x14ac:dyDescent="0.2">
      <c r="A41" s="34" t="s">
        <v>626</v>
      </c>
      <c r="B41" s="34">
        <v>7</v>
      </c>
      <c r="C41" s="33" t="str">
        <f t="shared" si="0"/>
        <v>O</v>
      </c>
      <c r="D41" s="33">
        <f t="shared" si="1"/>
        <v>1</v>
      </c>
      <c r="E41" s="33">
        <f t="shared" si="2"/>
        <v>14</v>
      </c>
      <c r="F41" s="49">
        <f t="shared" si="3"/>
        <v>21</v>
      </c>
    </row>
    <row r="42" spans="1:6" ht="15.75" customHeight="1" x14ac:dyDescent="0.2">
      <c r="A42" s="34" t="s">
        <v>627</v>
      </c>
      <c r="B42" s="34">
        <v>8</v>
      </c>
      <c r="C42" s="33" t="str">
        <f t="shared" si="0"/>
        <v>Q</v>
      </c>
      <c r="D42" s="33">
        <f t="shared" si="1"/>
        <v>1</v>
      </c>
      <c r="E42" s="33">
        <f t="shared" si="2"/>
        <v>16</v>
      </c>
      <c r="F42" s="49">
        <f t="shared" si="3"/>
        <v>24</v>
      </c>
    </row>
    <row r="43" spans="1:6" ht="15.75" customHeight="1" x14ac:dyDescent="0.2">
      <c r="A43" s="34" t="s">
        <v>628</v>
      </c>
      <c r="B43" s="34">
        <v>9</v>
      </c>
      <c r="C43" s="33" t="str">
        <f t="shared" si="0"/>
        <v>S</v>
      </c>
      <c r="D43" s="33">
        <f t="shared" si="1"/>
        <v>1</v>
      </c>
      <c r="E43" s="33">
        <f t="shared" si="2"/>
        <v>18</v>
      </c>
      <c r="F43" s="49">
        <f t="shared" si="3"/>
        <v>27</v>
      </c>
    </row>
    <row r="44" spans="1:6" ht="15.75" customHeight="1" x14ac:dyDescent="0.2">
      <c r="A44" s="34" t="s">
        <v>590</v>
      </c>
      <c r="B44" s="34">
        <v>10</v>
      </c>
      <c r="C44" s="33" t="str">
        <f t="shared" si="0"/>
        <v>U</v>
      </c>
      <c r="D44" s="33">
        <f t="shared" si="1"/>
        <v>1</v>
      </c>
      <c r="E44" s="33">
        <f t="shared" si="2"/>
        <v>20</v>
      </c>
      <c r="F44" s="49">
        <f t="shared" si="3"/>
        <v>30</v>
      </c>
    </row>
    <row r="45" spans="1:6" ht="15.75" customHeight="1" x14ac:dyDescent="0.2">
      <c r="A45" s="34" t="s">
        <v>629</v>
      </c>
      <c r="B45" s="34">
        <v>0.5</v>
      </c>
      <c r="C45" s="33" t="str">
        <f t="shared" si="0"/>
        <v>W</v>
      </c>
      <c r="D45" s="33">
        <f t="shared" si="1"/>
        <v>1</v>
      </c>
      <c r="E45" s="33">
        <f t="shared" si="2"/>
        <v>1</v>
      </c>
      <c r="F45" s="49">
        <f t="shared" si="3"/>
        <v>1.5</v>
      </c>
    </row>
    <row r="46" spans="1:6" ht="15.75" customHeight="1" x14ac:dyDescent="0.2">
      <c r="A46" s="34" t="s">
        <v>630</v>
      </c>
      <c r="B46" s="34">
        <v>1</v>
      </c>
      <c r="C46" s="33" t="str">
        <f t="shared" si="0"/>
        <v>Y</v>
      </c>
      <c r="D46" s="33">
        <f t="shared" si="1"/>
        <v>1</v>
      </c>
      <c r="E46" s="33">
        <f t="shared" si="2"/>
        <v>2</v>
      </c>
      <c r="F46" s="49">
        <f t="shared" si="3"/>
        <v>3</v>
      </c>
    </row>
    <row r="47" spans="1:6" ht="15.75" customHeight="1" x14ac:dyDescent="0.2">
      <c r="A47" s="34" t="s">
        <v>631</v>
      </c>
      <c r="B47" s="34">
        <v>2</v>
      </c>
      <c r="C47" s="33" t="str">
        <f t="shared" si="0"/>
        <v>A</v>
      </c>
      <c r="D47" s="33">
        <f t="shared" si="1"/>
        <v>0</v>
      </c>
      <c r="E47" s="33">
        <f t="shared" si="2"/>
        <v>4</v>
      </c>
      <c r="F47" s="49">
        <f t="shared" si="3"/>
        <v>8</v>
      </c>
    </row>
    <row r="48" spans="1:6" ht="15.75" customHeight="1" x14ac:dyDescent="0.2">
      <c r="A48" s="34" t="s">
        <v>632</v>
      </c>
      <c r="B48" s="34">
        <v>3</v>
      </c>
      <c r="C48" s="33" t="str">
        <f t="shared" si="0"/>
        <v>C</v>
      </c>
      <c r="D48" s="33">
        <f t="shared" si="1"/>
        <v>0</v>
      </c>
      <c r="E48" s="33">
        <f t="shared" si="2"/>
        <v>6</v>
      </c>
      <c r="F48" s="49">
        <f t="shared" si="3"/>
        <v>12</v>
      </c>
    </row>
    <row r="49" spans="1:6" ht="15.75" customHeight="1" x14ac:dyDescent="0.2">
      <c r="A49" s="34" t="s">
        <v>633</v>
      </c>
      <c r="B49" s="34">
        <v>4</v>
      </c>
      <c r="C49" s="33" t="str">
        <f t="shared" si="0"/>
        <v>E</v>
      </c>
      <c r="D49" s="33">
        <f t="shared" si="1"/>
        <v>0</v>
      </c>
      <c r="E49" s="33">
        <f t="shared" si="2"/>
        <v>8</v>
      </c>
      <c r="F49" s="49">
        <f t="shared" si="3"/>
        <v>16</v>
      </c>
    </row>
    <row r="50" spans="1:6" ht="15.75" customHeight="1" x14ac:dyDescent="0.2">
      <c r="A50" s="34" t="s">
        <v>634</v>
      </c>
      <c r="B50" s="34">
        <v>5</v>
      </c>
      <c r="C50" s="33" t="str">
        <f t="shared" si="0"/>
        <v>G</v>
      </c>
      <c r="D50" s="33">
        <f t="shared" si="1"/>
        <v>1</v>
      </c>
      <c r="E50" s="33">
        <f t="shared" si="2"/>
        <v>10</v>
      </c>
      <c r="F50" s="49">
        <f t="shared" si="3"/>
        <v>15</v>
      </c>
    </row>
    <row r="51" spans="1:6" ht="15.75" customHeight="1" x14ac:dyDescent="0.2">
      <c r="A51" s="34" t="s">
        <v>635</v>
      </c>
      <c r="B51" s="34">
        <v>6</v>
      </c>
      <c r="C51" s="33" t="str">
        <f t="shared" si="0"/>
        <v>I</v>
      </c>
      <c r="D51" s="33">
        <f t="shared" si="1"/>
        <v>1</v>
      </c>
      <c r="E51" s="33">
        <f t="shared" si="2"/>
        <v>12</v>
      </c>
      <c r="F51" s="49">
        <f t="shared" si="3"/>
        <v>18</v>
      </c>
    </row>
    <row r="52" spans="1:6" ht="15.75" customHeight="1" x14ac:dyDescent="0.2">
      <c r="A52" s="34" t="s">
        <v>636</v>
      </c>
      <c r="B52" s="34">
        <v>7</v>
      </c>
      <c r="C52" s="33" t="str">
        <f t="shared" si="0"/>
        <v>K</v>
      </c>
      <c r="D52" s="33">
        <f t="shared" si="1"/>
        <v>1</v>
      </c>
      <c r="E52" s="33">
        <f t="shared" si="2"/>
        <v>14</v>
      </c>
      <c r="F52" s="49">
        <f t="shared" si="3"/>
        <v>21</v>
      </c>
    </row>
    <row r="53" spans="1:6" ht="15.75" customHeight="1" x14ac:dyDescent="0.2">
      <c r="A53" s="34" t="s">
        <v>637</v>
      </c>
      <c r="B53" s="34">
        <v>8</v>
      </c>
      <c r="C53" s="33" t="str">
        <f t="shared" si="0"/>
        <v>M</v>
      </c>
      <c r="D53" s="33">
        <f t="shared" si="1"/>
        <v>1</v>
      </c>
      <c r="E53" s="33">
        <f t="shared" si="2"/>
        <v>16</v>
      </c>
      <c r="F53" s="49">
        <f t="shared" si="3"/>
        <v>24</v>
      </c>
    </row>
    <row r="54" spans="1:6" ht="15.75" customHeight="1" x14ac:dyDescent="0.2">
      <c r="A54" s="34" t="s">
        <v>638</v>
      </c>
      <c r="B54" s="34">
        <v>9</v>
      </c>
      <c r="C54" s="33" t="str">
        <f t="shared" si="0"/>
        <v>O</v>
      </c>
      <c r="D54" s="33">
        <f t="shared" si="1"/>
        <v>1</v>
      </c>
      <c r="E54" s="33">
        <f t="shared" si="2"/>
        <v>18</v>
      </c>
      <c r="F54" s="49">
        <f t="shared" si="3"/>
        <v>27</v>
      </c>
    </row>
    <row r="55" spans="1:6" ht="15.75" customHeight="1" x14ac:dyDescent="0.2">
      <c r="A55" s="34" t="s">
        <v>639</v>
      </c>
      <c r="B55" s="34">
        <v>10</v>
      </c>
      <c r="C55" s="33" t="str">
        <f t="shared" si="0"/>
        <v>Q</v>
      </c>
      <c r="D55" s="33">
        <f t="shared" si="1"/>
        <v>1</v>
      </c>
      <c r="E55" s="33">
        <f t="shared" si="2"/>
        <v>20</v>
      </c>
      <c r="F55" s="49">
        <f t="shared" si="3"/>
        <v>30</v>
      </c>
    </row>
    <row r="56" spans="1:6" ht="15.75" customHeight="1" x14ac:dyDescent="0.2">
      <c r="A56" s="34" t="s">
        <v>640</v>
      </c>
      <c r="B56" s="34">
        <v>0.5</v>
      </c>
      <c r="C56" s="33" t="str">
        <f t="shared" si="0"/>
        <v>S</v>
      </c>
      <c r="D56" s="33">
        <f t="shared" si="1"/>
        <v>1</v>
      </c>
      <c r="E56" s="33">
        <f t="shared" si="2"/>
        <v>1</v>
      </c>
      <c r="F56" s="49">
        <f t="shared" si="3"/>
        <v>1.5</v>
      </c>
    </row>
    <row r="57" spans="1:6" ht="15.75" customHeight="1" x14ac:dyDescent="0.2">
      <c r="A57" s="34" t="s">
        <v>641</v>
      </c>
      <c r="B57" s="34">
        <v>1</v>
      </c>
      <c r="C57" s="33" t="str">
        <f t="shared" si="0"/>
        <v>U</v>
      </c>
      <c r="D57" s="33">
        <f t="shared" si="1"/>
        <v>1</v>
      </c>
      <c r="E57" s="33">
        <f t="shared" si="2"/>
        <v>2</v>
      </c>
      <c r="F57" s="49">
        <f t="shared" si="3"/>
        <v>3</v>
      </c>
    </row>
    <row r="58" spans="1:6" ht="14" x14ac:dyDescent="0.2">
      <c r="A58" s="34" t="s">
        <v>642</v>
      </c>
      <c r="B58" s="34">
        <v>2</v>
      </c>
      <c r="C58" s="33" t="str">
        <f t="shared" si="0"/>
        <v>W</v>
      </c>
      <c r="D58" s="33">
        <f t="shared" si="1"/>
        <v>1</v>
      </c>
      <c r="E58" s="33">
        <f t="shared" si="2"/>
        <v>4</v>
      </c>
      <c r="F58" s="49">
        <f t="shared" si="3"/>
        <v>6</v>
      </c>
    </row>
    <row r="59" spans="1:6" ht="14" x14ac:dyDescent="0.2">
      <c r="A59" s="34" t="s">
        <v>643</v>
      </c>
      <c r="B59" s="34">
        <v>3</v>
      </c>
      <c r="C59" s="33" t="str">
        <f t="shared" si="0"/>
        <v>Y</v>
      </c>
      <c r="D59" s="33">
        <f t="shared" si="1"/>
        <v>1</v>
      </c>
      <c r="E59" s="33">
        <f t="shared" si="2"/>
        <v>6</v>
      </c>
      <c r="F59" s="49">
        <f t="shared" si="3"/>
        <v>9</v>
      </c>
    </row>
    <row r="60" spans="1:6" ht="14" x14ac:dyDescent="0.2">
      <c r="A60" s="34" t="s">
        <v>644</v>
      </c>
      <c r="B60" s="34">
        <v>4</v>
      </c>
      <c r="C60" s="33" t="str">
        <f t="shared" si="0"/>
        <v>A</v>
      </c>
      <c r="D60" s="33">
        <f t="shared" si="1"/>
        <v>0</v>
      </c>
      <c r="E60" s="33">
        <f t="shared" si="2"/>
        <v>8</v>
      </c>
      <c r="F60" s="49">
        <f t="shared" si="3"/>
        <v>16</v>
      </c>
    </row>
    <row r="61" spans="1:6" ht="14" x14ac:dyDescent="0.2">
      <c r="A61" s="34" t="s">
        <v>645</v>
      </c>
      <c r="B61" s="34">
        <v>5</v>
      </c>
      <c r="C61" s="33" t="str">
        <f t="shared" si="0"/>
        <v>C</v>
      </c>
      <c r="D61" s="33">
        <f t="shared" si="1"/>
        <v>0</v>
      </c>
      <c r="E61" s="33">
        <f t="shared" si="2"/>
        <v>10</v>
      </c>
      <c r="F61" s="49">
        <f t="shared" si="3"/>
        <v>20</v>
      </c>
    </row>
    <row r="62" spans="1:6" ht="14" x14ac:dyDescent="0.2">
      <c r="A62" s="34" t="s">
        <v>646</v>
      </c>
      <c r="B62" s="34">
        <v>6</v>
      </c>
      <c r="C62" s="33" t="str">
        <f t="shared" si="0"/>
        <v>E</v>
      </c>
      <c r="D62" s="33">
        <f t="shared" si="1"/>
        <v>0</v>
      </c>
      <c r="E62" s="33">
        <f t="shared" si="2"/>
        <v>12</v>
      </c>
      <c r="F62" s="49">
        <f t="shared" si="3"/>
        <v>24</v>
      </c>
    </row>
    <row r="63" spans="1:6" ht="14" x14ac:dyDescent="0.2">
      <c r="A63" s="34" t="s">
        <v>647</v>
      </c>
      <c r="B63" s="34">
        <v>7</v>
      </c>
      <c r="C63" s="33" t="str">
        <f t="shared" si="0"/>
        <v>G</v>
      </c>
      <c r="D63" s="33">
        <f t="shared" si="1"/>
        <v>1</v>
      </c>
      <c r="E63" s="33">
        <f t="shared" si="2"/>
        <v>14</v>
      </c>
      <c r="F63" s="49">
        <f t="shared" si="3"/>
        <v>21</v>
      </c>
    </row>
    <row r="64" spans="1:6" ht="14" x14ac:dyDescent="0.2">
      <c r="A64" s="34" t="s">
        <v>648</v>
      </c>
      <c r="B64" s="34">
        <v>8</v>
      </c>
      <c r="C64" s="33" t="str">
        <f t="shared" si="0"/>
        <v>I</v>
      </c>
      <c r="D64" s="33">
        <f t="shared" si="1"/>
        <v>1</v>
      </c>
      <c r="E64" s="33">
        <f t="shared" si="2"/>
        <v>16</v>
      </c>
      <c r="F64" s="49">
        <f t="shared" si="3"/>
        <v>24</v>
      </c>
    </row>
    <row r="65" spans="1:6" ht="14" x14ac:dyDescent="0.2">
      <c r="A65" s="34" t="s">
        <v>649</v>
      </c>
      <c r="B65" s="34">
        <v>9</v>
      </c>
      <c r="C65" s="33" t="str">
        <f t="shared" si="0"/>
        <v>K</v>
      </c>
      <c r="D65" s="33">
        <f t="shared" si="1"/>
        <v>1</v>
      </c>
      <c r="E65" s="33">
        <f t="shared" si="2"/>
        <v>18</v>
      </c>
      <c r="F65" s="49">
        <f t="shared" si="3"/>
        <v>27</v>
      </c>
    </row>
    <row r="66" spans="1:6" ht="14" x14ac:dyDescent="0.2">
      <c r="A66" s="34" t="s">
        <v>650</v>
      </c>
      <c r="B66" s="34">
        <v>10</v>
      </c>
      <c r="C66" s="33" t="str">
        <f t="shared" si="0"/>
        <v>M</v>
      </c>
      <c r="D66" s="33">
        <f t="shared" si="1"/>
        <v>1</v>
      </c>
      <c r="E66" s="33">
        <f t="shared" si="2"/>
        <v>20</v>
      </c>
      <c r="F66" s="49">
        <f t="shared" si="3"/>
        <v>30</v>
      </c>
    </row>
    <row r="67" spans="1:6" ht="14" x14ac:dyDescent="0.2">
      <c r="A67" s="34" t="s">
        <v>651</v>
      </c>
      <c r="B67" s="34">
        <v>0.5</v>
      </c>
      <c r="C67" s="33" t="str">
        <f t="shared" ref="C67:C101" si="4">LEFT(A67,1)</f>
        <v>O</v>
      </c>
      <c r="D67" s="33">
        <f t="shared" ref="D67:D101" si="5">IF(C67&lt;="F",0,IF(B67&lt;="M",1,2))</f>
        <v>1</v>
      </c>
      <c r="E67" s="33">
        <f t="shared" ref="E67:E101" si="6">B67/0.5</f>
        <v>1</v>
      </c>
      <c r="F67" s="49">
        <f t="shared" ref="F67:F101" si="7">IF(D67=0,E67*2,IF(D67=1,E67*1.5,E67))</f>
        <v>1.5</v>
      </c>
    </row>
    <row r="68" spans="1:6" ht="14" x14ac:dyDescent="0.2">
      <c r="A68" s="34" t="s">
        <v>652</v>
      </c>
      <c r="B68" s="34">
        <v>1</v>
      </c>
      <c r="C68" s="33" t="str">
        <f t="shared" si="4"/>
        <v>Q</v>
      </c>
      <c r="D68" s="33">
        <f t="shared" si="5"/>
        <v>1</v>
      </c>
      <c r="E68" s="33">
        <f t="shared" si="6"/>
        <v>2</v>
      </c>
      <c r="F68" s="49">
        <f t="shared" si="7"/>
        <v>3</v>
      </c>
    </row>
    <row r="69" spans="1:6" ht="14" x14ac:dyDescent="0.2">
      <c r="A69" s="34" t="s">
        <v>653</v>
      </c>
      <c r="B69" s="34">
        <v>2</v>
      </c>
      <c r="C69" s="33" t="str">
        <f t="shared" si="4"/>
        <v>S</v>
      </c>
      <c r="D69" s="33">
        <f t="shared" si="5"/>
        <v>1</v>
      </c>
      <c r="E69" s="33">
        <f t="shared" si="6"/>
        <v>4</v>
      </c>
      <c r="F69" s="49">
        <f t="shared" si="7"/>
        <v>6</v>
      </c>
    </row>
    <row r="70" spans="1:6" ht="14" x14ac:dyDescent="0.2">
      <c r="A70" s="34" t="s">
        <v>654</v>
      </c>
      <c r="B70" s="34">
        <v>3</v>
      </c>
      <c r="C70" s="33" t="str">
        <f t="shared" si="4"/>
        <v>U</v>
      </c>
      <c r="D70" s="33">
        <f t="shared" si="5"/>
        <v>1</v>
      </c>
      <c r="E70" s="33">
        <f t="shared" si="6"/>
        <v>6</v>
      </c>
      <c r="F70" s="49">
        <f t="shared" si="7"/>
        <v>9</v>
      </c>
    </row>
    <row r="71" spans="1:6" ht="14" x14ac:dyDescent="0.2">
      <c r="A71" s="34" t="s">
        <v>655</v>
      </c>
      <c r="B71" s="34">
        <v>4</v>
      </c>
      <c r="C71" s="33" t="str">
        <f t="shared" si="4"/>
        <v>W</v>
      </c>
      <c r="D71" s="33">
        <f t="shared" si="5"/>
        <v>1</v>
      </c>
      <c r="E71" s="33">
        <f t="shared" si="6"/>
        <v>8</v>
      </c>
      <c r="F71" s="49">
        <f t="shared" si="7"/>
        <v>12</v>
      </c>
    </row>
    <row r="72" spans="1:6" ht="14" x14ac:dyDescent="0.2">
      <c r="A72" s="34" t="s">
        <v>656</v>
      </c>
      <c r="B72" s="34">
        <v>5</v>
      </c>
      <c r="C72" s="33" t="str">
        <f t="shared" si="4"/>
        <v>Y</v>
      </c>
      <c r="D72" s="33">
        <f t="shared" si="5"/>
        <v>1</v>
      </c>
      <c r="E72" s="33">
        <f t="shared" si="6"/>
        <v>10</v>
      </c>
      <c r="F72" s="49">
        <f t="shared" si="7"/>
        <v>15</v>
      </c>
    </row>
    <row r="73" spans="1:6" ht="14" x14ac:dyDescent="0.2">
      <c r="A73" s="34" t="s">
        <v>657</v>
      </c>
      <c r="B73" s="34">
        <v>6</v>
      </c>
      <c r="C73" s="33" t="str">
        <f t="shared" si="4"/>
        <v>A</v>
      </c>
      <c r="D73" s="33">
        <f t="shared" si="5"/>
        <v>0</v>
      </c>
      <c r="E73" s="33">
        <f t="shared" si="6"/>
        <v>12</v>
      </c>
      <c r="F73" s="49">
        <f t="shared" si="7"/>
        <v>24</v>
      </c>
    </row>
    <row r="74" spans="1:6" ht="14" x14ac:dyDescent="0.2">
      <c r="A74" s="34" t="s">
        <v>658</v>
      </c>
      <c r="B74" s="34">
        <v>7</v>
      </c>
      <c r="C74" s="33" t="str">
        <f t="shared" si="4"/>
        <v>C</v>
      </c>
      <c r="D74" s="33">
        <f t="shared" si="5"/>
        <v>0</v>
      </c>
      <c r="E74" s="33">
        <f t="shared" si="6"/>
        <v>14</v>
      </c>
      <c r="F74" s="49">
        <f t="shared" si="7"/>
        <v>28</v>
      </c>
    </row>
    <row r="75" spans="1:6" ht="14" x14ac:dyDescent="0.2">
      <c r="A75" s="34" t="s">
        <v>659</v>
      </c>
      <c r="B75" s="34">
        <v>8</v>
      </c>
      <c r="C75" s="33" t="str">
        <f t="shared" si="4"/>
        <v>E</v>
      </c>
      <c r="D75" s="33">
        <f t="shared" si="5"/>
        <v>0</v>
      </c>
      <c r="E75" s="33">
        <f t="shared" si="6"/>
        <v>16</v>
      </c>
      <c r="F75" s="49">
        <f t="shared" si="7"/>
        <v>32</v>
      </c>
    </row>
    <row r="76" spans="1:6" ht="14" x14ac:dyDescent="0.2">
      <c r="A76" s="34" t="s">
        <v>660</v>
      </c>
      <c r="B76" s="34">
        <v>9</v>
      </c>
      <c r="C76" s="33" t="str">
        <f t="shared" si="4"/>
        <v>G</v>
      </c>
      <c r="D76" s="33">
        <f t="shared" si="5"/>
        <v>1</v>
      </c>
      <c r="E76" s="33">
        <f t="shared" si="6"/>
        <v>18</v>
      </c>
      <c r="F76" s="49">
        <f t="shared" si="7"/>
        <v>27</v>
      </c>
    </row>
    <row r="77" spans="1:6" ht="14" x14ac:dyDescent="0.2">
      <c r="A77" s="34" t="s">
        <v>661</v>
      </c>
      <c r="B77" s="34">
        <v>10</v>
      </c>
      <c r="C77" s="33" t="str">
        <f t="shared" si="4"/>
        <v>I</v>
      </c>
      <c r="D77" s="33">
        <f t="shared" si="5"/>
        <v>1</v>
      </c>
      <c r="E77" s="33">
        <f t="shared" si="6"/>
        <v>20</v>
      </c>
      <c r="F77" s="49">
        <f t="shared" si="7"/>
        <v>30</v>
      </c>
    </row>
    <row r="78" spans="1:6" ht="14" x14ac:dyDescent="0.2">
      <c r="A78" s="34" t="s">
        <v>662</v>
      </c>
      <c r="B78" s="34">
        <v>0.5</v>
      </c>
      <c r="C78" s="33" t="str">
        <f t="shared" si="4"/>
        <v>K</v>
      </c>
      <c r="D78" s="33">
        <f t="shared" si="5"/>
        <v>1</v>
      </c>
      <c r="E78" s="33">
        <f t="shared" si="6"/>
        <v>1</v>
      </c>
      <c r="F78" s="49">
        <f t="shared" si="7"/>
        <v>1.5</v>
      </c>
    </row>
    <row r="79" spans="1:6" ht="14" x14ac:dyDescent="0.2">
      <c r="A79" s="34" t="s">
        <v>663</v>
      </c>
      <c r="B79" s="34">
        <v>1</v>
      </c>
      <c r="C79" s="33" t="str">
        <f t="shared" si="4"/>
        <v>M</v>
      </c>
      <c r="D79" s="33">
        <f t="shared" si="5"/>
        <v>1</v>
      </c>
      <c r="E79" s="33">
        <f t="shared" si="6"/>
        <v>2</v>
      </c>
      <c r="F79" s="49">
        <f t="shared" si="7"/>
        <v>3</v>
      </c>
    </row>
    <row r="80" spans="1:6" ht="14" x14ac:dyDescent="0.2">
      <c r="A80" s="34" t="s">
        <v>664</v>
      </c>
      <c r="B80" s="34">
        <v>2</v>
      </c>
      <c r="C80" s="33" t="str">
        <f t="shared" si="4"/>
        <v>O</v>
      </c>
      <c r="D80" s="33">
        <f t="shared" si="5"/>
        <v>1</v>
      </c>
      <c r="E80" s="33">
        <f t="shared" si="6"/>
        <v>4</v>
      </c>
      <c r="F80" s="49">
        <f t="shared" si="7"/>
        <v>6</v>
      </c>
    </row>
    <row r="81" spans="1:6" ht="14" x14ac:dyDescent="0.2">
      <c r="A81" s="34" t="s">
        <v>665</v>
      </c>
      <c r="B81" s="34">
        <v>3</v>
      </c>
      <c r="C81" s="33" t="str">
        <f t="shared" si="4"/>
        <v>Q</v>
      </c>
      <c r="D81" s="33">
        <f t="shared" si="5"/>
        <v>1</v>
      </c>
      <c r="E81" s="33">
        <f t="shared" si="6"/>
        <v>6</v>
      </c>
      <c r="F81" s="49">
        <f t="shared" si="7"/>
        <v>9</v>
      </c>
    </row>
    <row r="82" spans="1:6" ht="14" x14ac:dyDescent="0.2">
      <c r="A82" s="34" t="s">
        <v>666</v>
      </c>
      <c r="B82" s="34">
        <v>4</v>
      </c>
      <c r="C82" s="33" t="str">
        <f t="shared" si="4"/>
        <v>S</v>
      </c>
      <c r="D82" s="33">
        <f t="shared" si="5"/>
        <v>1</v>
      </c>
      <c r="E82" s="33">
        <f t="shared" si="6"/>
        <v>8</v>
      </c>
      <c r="F82" s="49">
        <f t="shared" si="7"/>
        <v>12</v>
      </c>
    </row>
    <row r="83" spans="1:6" ht="14" x14ac:dyDescent="0.2">
      <c r="A83" s="34" t="s">
        <v>667</v>
      </c>
      <c r="B83" s="34">
        <v>5</v>
      </c>
      <c r="C83" s="33" t="str">
        <f t="shared" si="4"/>
        <v>U</v>
      </c>
      <c r="D83" s="33">
        <f t="shared" si="5"/>
        <v>1</v>
      </c>
      <c r="E83" s="33">
        <f t="shared" si="6"/>
        <v>10</v>
      </c>
      <c r="F83" s="49">
        <f t="shared" si="7"/>
        <v>15</v>
      </c>
    </row>
    <row r="84" spans="1:6" ht="14" x14ac:dyDescent="0.2">
      <c r="A84" s="34" t="s">
        <v>668</v>
      </c>
      <c r="B84" s="34">
        <v>6</v>
      </c>
      <c r="C84" s="33" t="str">
        <f t="shared" si="4"/>
        <v>W</v>
      </c>
      <c r="D84" s="33">
        <f t="shared" si="5"/>
        <v>1</v>
      </c>
      <c r="E84" s="33">
        <f t="shared" si="6"/>
        <v>12</v>
      </c>
      <c r="F84" s="49">
        <f t="shared" si="7"/>
        <v>18</v>
      </c>
    </row>
    <row r="85" spans="1:6" ht="14" x14ac:dyDescent="0.2">
      <c r="A85" s="34" t="s">
        <v>669</v>
      </c>
      <c r="B85" s="34">
        <v>7</v>
      </c>
      <c r="C85" s="33" t="str">
        <f t="shared" si="4"/>
        <v>Y</v>
      </c>
      <c r="D85" s="33">
        <f t="shared" si="5"/>
        <v>1</v>
      </c>
      <c r="E85" s="33">
        <f t="shared" si="6"/>
        <v>14</v>
      </c>
      <c r="F85" s="49">
        <f t="shared" si="7"/>
        <v>21</v>
      </c>
    </row>
    <row r="86" spans="1:6" ht="14" x14ac:dyDescent="0.2">
      <c r="A86" s="34" t="s">
        <v>670</v>
      </c>
      <c r="B86" s="34">
        <v>8</v>
      </c>
      <c r="C86" s="33" t="str">
        <f t="shared" si="4"/>
        <v>A</v>
      </c>
      <c r="D86" s="33">
        <f t="shared" si="5"/>
        <v>0</v>
      </c>
      <c r="E86" s="33">
        <f t="shared" si="6"/>
        <v>16</v>
      </c>
      <c r="F86" s="49">
        <f t="shared" si="7"/>
        <v>32</v>
      </c>
    </row>
    <row r="87" spans="1:6" ht="14" x14ac:dyDescent="0.2">
      <c r="A87" s="34" t="s">
        <v>671</v>
      </c>
      <c r="B87" s="34">
        <v>9</v>
      </c>
      <c r="C87" s="33" t="str">
        <f t="shared" si="4"/>
        <v>C</v>
      </c>
      <c r="D87" s="33">
        <f t="shared" si="5"/>
        <v>0</v>
      </c>
      <c r="E87" s="33">
        <f t="shared" si="6"/>
        <v>18</v>
      </c>
      <c r="F87" s="49">
        <f t="shared" si="7"/>
        <v>36</v>
      </c>
    </row>
    <row r="88" spans="1:6" ht="14" x14ac:dyDescent="0.2">
      <c r="A88" s="34" t="s">
        <v>672</v>
      </c>
      <c r="B88" s="34">
        <v>10</v>
      </c>
      <c r="C88" s="33" t="str">
        <f t="shared" si="4"/>
        <v>E</v>
      </c>
      <c r="D88" s="33">
        <f t="shared" si="5"/>
        <v>0</v>
      </c>
      <c r="E88" s="33">
        <f t="shared" si="6"/>
        <v>20</v>
      </c>
      <c r="F88" s="49">
        <f t="shared" si="7"/>
        <v>40</v>
      </c>
    </row>
    <row r="89" spans="1:6" ht="14" x14ac:dyDescent="0.2">
      <c r="A89" s="34" t="s">
        <v>673</v>
      </c>
      <c r="B89" s="34">
        <v>0.5</v>
      </c>
      <c r="C89" s="33" t="str">
        <f t="shared" si="4"/>
        <v>G</v>
      </c>
      <c r="D89" s="33">
        <f t="shared" si="5"/>
        <v>1</v>
      </c>
      <c r="E89" s="33">
        <f t="shared" si="6"/>
        <v>1</v>
      </c>
      <c r="F89" s="49">
        <f t="shared" si="7"/>
        <v>1.5</v>
      </c>
    </row>
    <row r="90" spans="1:6" ht="14" x14ac:dyDescent="0.2">
      <c r="A90" s="34" t="s">
        <v>674</v>
      </c>
      <c r="B90" s="34">
        <v>1</v>
      </c>
      <c r="C90" s="33" t="str">
        <f t="shared" si="4"/>
        <v>I</v>
      </c>
      <c r="D90" s="33">
        <f t="shared" si="5"/>
        <v>1</v>
      </c>
      <c r="E90" s="33">
        <f t="shared" si="6"/>
        <v>2</v>
      </c>
      <c r="F90" s="49">
        <f t="shared" si="7"/>
        <v>3</v>
      </c>
    </row>
    <row r="91" spans="1:6" ht="14" x14ac:dyDescent="0.2">
      <c r="A91" s="34" t="s">
        <v>675</v>
      </c>
      <c r="B91" s="34">
        <v>2</v>
      </c>
      <c r="C91" s="33" t="str">
        <f t="shared" si="4"/>
        <v>K</v>
      </c>
      <c r="D91" s="33">
        <f t="shared" si="5"/>
        <v>1</v>
      </c>
      <c r="E91" s="33">
        <f t="shared" si="6"/>
        <v>4</v>
      </c>
      <c r="F91" s="49">
        <f t="shared" si="7"/>
        <v>6</v>
      </c>
    </row>
    <row r="92" spans="1:6" ht="14" x14ac:dyDescent="0.2">
      <c r="A92" s="34" t="s">
        <v>676</v>
      </c>
      <c r="B92" s="34">
        <v>3</v>
      </c>
      <c r="C92" s="33" t="str">
        <f t="shared" si="4"/>
        <v>M</v>
      </c>
      <c r="D92" s="33">
        <f t="shared" si="5"/>
        <v>1</v>
      </c>
      <c r="E92" s="33">
        <f t="shared" si="6"/>
        <v>6</v>
      </c>
      <c r="F92" s="49">
        <f t="shared" si="7"/>
        <v>9</v>
      </c>
    </row>
    <row r="93" spans="1:6" ht="14" x14ac:dyDescent="0.2">
      <c r="A93" s="34" t="s">
        <v>677</v>
      </c>
      <c r="B93" s="34">
        <v>4</v>
      </c>
      <c r="C93" s="33" t="str">
        <f t="shared" si="4"/>
        <v>O</v>
      </c>
      <c r="D93" s="33">
        <f t="shared" si="5"/>
        <v>1</v>
      </c>
      <c r="E93" s="33">
        <f t="shared" si="6"/>
        <v>8</v>
      </c>
      <c r="F93" s="49">
        <f t="shared" si="7"/>
        <v>12</v>
      </c>
    </row>
    <row r="94" spans="1:6" ht="14" x14ac:dyDescent="0.2">
      <c r="A94" s="34" t="s">
        <v>678</v>
      </c>
      <c r="B94" s="34">
        <v>5</v>
      </c>
      <c r="C94" s="33" t="str">
        <f t="shared" si="4"/>
        <v>Q</v>
      </c>
      <c r="D94" s="33">
        <f t="shared" si="5"/>
        <v>1</v>
      </c>
      <c r="E94" s="33">
        <f t="shared" si="6"/>
        <v>10</v>
      </c>
      <c r="F94" s="49">
        <f t="shared" si="7"/>
        <v>15</v>
      </c>
    </row>
    <row r="95" spans="1:6" ht="14" x14ac:dyDescent="0.2">
      <c r="A95" s="34" t="s">
        <v>679</v>
      </c>
      <c r="B95" s="34">
        <v>6</v>
      </c>
      <c r="C95" s="33" t="str">
        <f t="shared" si="4"/>
        <v>S</v>
      </c>
      <c r="D95" s="33">
        <f t="shared" si="5"/>
        <v>1</v>
      </c>
      <c r="E95" s="33">
        <f t="shared" si="6"/>
        <v>12</v>
      </c>
      <c r="F95" s="49">
        <f t="shared" si="7"/>
        <v>18</v>
      </c>
    </row>
    <row r="96" spans="1:6" ht="14" x14ac:dyDescent="0.2">
      <c r="A96" s="34" t="s">
        <v>680</v>
      </c>
      <c r="B96" s="34">
        <v>7</v>
      </c>
      <c r="C96" s="33" t="str">
        <f t="shared" si="4"/>
        <v>U</v>
      </c>
      <c r="D96" s="33">
        <f t="shared" si="5"/>
        <v>1</v>
      </c>
      <c r="E96" s="33">
        <f t="shared" si="6"/>
        <v>14</v>
      </c>
      <c r="F96" s="49">
        <f t="shared" si="7"/>
        <v>21</v>
      </c>
    </row>
    <row r="97" spans="1:6" ht="14" x14ac:dyDescent="0.2">
      <c r="A97" s="34" t="s">
        <v>681</v>
      </c>
      <c r="B97" s="34">
        <v>8</v>
      </c>
      <c r="C97" s="33" t="str">
        <f t="shared" si="4"/>
        <v>W</v>
      </c>
      <c r="D97" s="33">
        <f t="shared" si="5"/>
        <v>1</v>
      </c>
      <c r="E97" s="33">
        <f t="shared" si="6"/>
        <v>16</v>
      </c>
      <c r="F97" s="49">
        <f t="shared" si="7"/>
        <v>24</v>
      </c>
    </row>
    <row r="98" spans="1:6" ht="14" x14ac:dyDescent="0.2">
      <c r="A98" s="34" t="s">
        <v>682</v>
      </c>
      <c r="B98" s="34">
        <v>9</v>
      </c>
      <c r="C98" s="33" t="str">
        <f t="shared" si="4"/>
        <v>Y</v>
      </c>
      <c r="D98" s="33">
        <f t="shared" si="5"/>
        <v>1</v>
      </c>
      <c r="E98" s="33">
        <f t="shared" si="6"/>
        <v>18</v>
      </c>
      <c r="F98" s="49">
        <f t="shared" si="7"/>
        <v>27</v>
      </c>
    </row>
    <row r="99" spans="1:6" ht="14" x14ac:dyDescent="0.2">
      <c r="A99" s="34" t="s">
        <v>683</v>
      </c>
      <c r="B99" s="34">
        <v>10</v>
      </c>
      <c r="C99" s="33" t="str">
        <f t="shared" si="4"/>
        <v>A</v>
      </c>
      <c r="D99" s="33">
        <f t="shared" si="5"/>
        <v>0</v>
      </c>
      <c r="E99" s="33">
        <f t="shared" si="6"/>
        <v>20</v>
      </c>
      <c r="F99" s="49">
        <f t="shared" si="7"/>
        <v>40</v>
      </c>
    </row>
    <row r="100" spans="1:6" ht="14" x14ac:dyDescent="0.2">
      <c r="A100" s="34" t="s">
        <v>684</v>
      </c>
      <c r="B100" s="34">
        <v>0.5</v>
      </c>
      <c r="C100" s="33" t="str">
        <f t="shared" si="4"/>
        <v>C</v>
      </c>
      <c r="D100" s="33">
        <f t="shared" si="5"/>
        <v>0</v>
      </c>
      <c r="E100" s="33">
        <f t="shared" si="6"/>
        <v>1</v>
      </c>
      <c r="F100" s="49">
        <f t="shared" si="7"/>
        <v>2</v>
      </c>
    </row>
    <row r="101" spans="1:6" ht="14" x14ac:dyDescent="0.2">
      <c r="A101" s="34" t="s">
        <v>685</v>
      </c>
      <c r="B101" s="34">
        <v>1</v>
      </c>
      <c r="C101" s="33" t="str">
        <f t="shared" si="4"/>
        <v>E</v>
      </c>
      <c r="D101" s="33">
        <f t="shared" si="5"/>
        <v>0</v>
      </c>
      <c r="E101" s="33">
        <f t="shared" si="6"/>
        <v>2</v>
      </c>
      <c r="F101" s="49">
        <f t="shared" si="7"/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DEE6-9EED-6C42-A8E4-CAAC47CB6F0D}">
  <sheetPr>
    <outlinePr summaryBelow="0" summaryRight="0"/>
  </sheetPr>
  <dimension ref="A1:Y47"/>
  <sheetViews>
    <sheetView workbookViewId="0">
      <selection activeCell="F12" sqref="F12"/>
    </sheetView>
  </sheetViews>
  <sheetFormatPr baseColWidth="10" defaultColWidth="15.19921875" defaultRowHeight="15.75" customHeight="1" x14ac:dyDescent="0.2"/>
  <cols>
    <col min="1" max="1" width="15.19921875" style="33"/>
    <col min="2" max="2" width="30.3984375" style="33" customWidth="1"/>
    <col min="3" max="3" width="24.19921875" style="33" customWidth="1"/>
    <col min="4" max="4" width="27.19921875" style="33" customWidth="1"/>
    <col min="5" max="5" width="15.19921875" style="33"/>
    <col min="6" max="6" width="21.3984375" style="33" customWidth="1"/>
    <col min="7" max="16384" width="15.19921875" style="33"/>
  </cols>
  <sheetData>
    <row r="1" spans="1:25" ht="15.75" customHeight="1" thickBot="1" x14ac:dyDescent="0.25">
      <c r="A1" s="32" t="s">
        <v>686</v>
      </c>
      <c r="B1" s="32" t="s">
        <v>687</v>
      </c>
      <c r="C1" s="32" t="s">
        <v>586</v>
      </c>
      <c r="D1" s="32"/>
      <c r="E1" s="35" t="s">
        <v>718</v>
      </c>
      <c r="F1" s="36" t="s">
        <v>719</v>
      </c>
      <c r="G1" s="41" t="s">
        <v>720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15.75" customHeight="1" x14ac:dyDescent="0.2">
      <c r="A2" s="34" t="s">
        <v>688</v>
      </c>
      <c r="B2" s="34">
        <v>55</v>
      </c>
      <c r="E2" s="37" t="s">
        <v>688</v>
      </c>
      <c r="F2" s="38">
        <f>COUNTIF($A$2:$B$47,E2)</f>
        <v>11</v>
      </c>
      <c r="G2" s="53">
        <f>SUMIF($A$2:$A$47,E2,$C$2:$C$47)</f>
        <v>555</v>
      </c>
    </row>
    <row r="3" spans="1:25" ht="15.75" customHeight="1" x14ac:dyDescent="0.2">
      <c r="A3" s="34" t="s">
        <v>689</v>
      </c>
      <c r="B3" s="34">
        <v>70</v>
      </c>
      <c r="C3" s="34">
        <v>80</v>
      </c>
      <c r="E3" s="37" t="s">
        <v>689</v>
      </c>
      <c r="F3" s="38">
        <f t="shared" ref="F3:F6" si="0">COUNTIF($A$2:$B$47,E3)</f>
        <v>14</v>
      </c>
      <c r="G3" s="42">
        <f>SUMIF($A$2:$A$47,E3,$C$2:$C$47)</f>
        <v>815</v>
      </c>
    </row>
    <row r="4" spans="1:25" ht="15.75" customHeight="1" x14ac:dyDescent="0.2">
      <c r="A4" s="34" t="s">
        <v>690</v>
      </c>
      <c r="B4" s="34">
        <v>40</v>
      </c>
      <c r="C4" s="34">
        <v>60</v>
      </c>
      <c r="E4" s="37" t="s">
        <v>690</v>
      </c>
      <c r="F4" s="38">
        <f t="shared" si="0"/>
        <v>11</v>
      </c>
      <c r="G4" s="42">
        <f>SUMIF($A$2:$A$47,E4,$C$2:$C$47)</f>
        <v>495</v>
      </c>
    </row>
    <row r="5" spans="1:25" ht="15.75" customHeight="1" x14ac:dyDescent="0.2">
      <c r="A5" s="34" t="s">
        <v>688</v>
      </c>
      <c r="B5" s="34">
        <v>20</v>
      </c>
      <c r="C5" s="34">
        <v>100</v>
      </c>
      <c r="E5" s="37" t="s">
        <v>691</v>
      </c>
      <c r="F5" s="38">
        <f t="shared" si="0"/>
        <v>7</v>
      </c>
      <c r="G5" s="42">
        <f>SUMIF($A$2:$A$47,E5,$C$2:$C$47)</f>
        <v>225</v>
      </c>
    </row>
    <row r="6" spans="1:25" ht="15.75" customHeight="1" thickBot="1" x14ac:dyDescent="0.25">
      <c r="A6" s="34" t="s">
        <v>691</v>
      </c>
      <c r="B6" s="34">
        <v>90</v>
      </c>
      <c r="C6" s="34">
        <v>30</v>
      </c>
      <c r="E6" s="39" t="s">
        <v>692</v>
      </c>
      <c r="F6" s="40">
        <f t="shared" si="0"/>
        <v>3</v>
      </c>
      <c r="G6" s="43">
        <f>SUMIF($A$2:$A$47,E6,$C$2:$C$47)</f>
        <v>150</v>
      </c>
    </row>
    <row r="7" spans="1:25" ht="15.75" customHeight="1" x14ac:dyDescent="0.2">
      <c r="A7" s="34" t="s">
        <v>689</v>
      </c>
      <c r="B7" s="34">
        <v>50</v>
      </c>
      <c r="C7" s="34">
        <v>40</v>
      </c>
      <c r="E7"/>
    </row>
    <row r="8" spans="1:25" ht="15.75" customHeight="1" x14ac:dyDescent="0.2">
      <c r="A8" s="34" t="s">
        <v>690</v>
      </c>
      <c r="B8" s="34">
        <v>60</v>
      </c>
      <c r="C8" s="34">
        <v>55</v>
      </c>
      <c r="E8"/>
    </row>
    <row r="9" spans="1:25" ht="15.75" customHeight="1" x14ac:dyDescent="0.2">
      <c r="A9" s="34" t="s">
        <v>688</v>
      </c>
      <c r="B9" s="34">
        <v>45</v>
      </c>
      <c r="E9"/>
    </row>
    <row r="10" spans="1:25" ht="15.75" customHeight="1" thickBot="1" x14ac:dyDescent="0.25">
      <c r="A10" s="34" t="s">
        <v>689</v>
      </c>
      <c r="B10" s="34">
        <v>25</v>
      </c>
      <c r="C10" s="34">
        <v>85</v>
      </c>
      <c r="E10"/>
    </row>
    <row r="11" spans="1:25" ht="15.75" customHeight="1" thickBot="1" x14ac:dyDescent="0.25">
      <c r="A11" s="34" t="s">
        <v>691</v>
      </c>
      <c r="B11" s="34">
        <v>35</v>
      </c>
      <c r="C11" s="34">
        <v>50</v>
      </c>
      <c r="E11" s="44" t="s">
        <v>688</v>
      </c>
      <c r="F11" s="45">
        <f>SUMIFS(B:B,A:A,E11,B:B,"&gt;80")</f>
        <v>0</v>
      </c>
    </row>
    <row r="12" spans="1:25" ht="15.75" customHeight="1" x14ac:dyDescent="0.2">
      <c r="A12" s="34" t="s">
        <v>692</v>
      </c>
      <c r="B12" s="34">
        <v>60</v>
      </c>
      <c r="C12" s="34">
        <v>95</v>
      </c>
      <c r="E12"/>
    </row>
    <row r="13" spans="1:25" ht="15.75" customHeight="1" x14ac:dyDescent="0.2">
      <c r="A13" s="34" t="s">
        <v>690</v>
      </c>
      <c r="B13" s="34">
        <v>80</v>
      </c>
      <c r="E13"/>
    </row>
    <row r="14" spans="1:25" ht="15.75" customHeight="1" x14ac:dyDescent="0.2">
      <c r="A14" s="34" t="s">
        <v>689</v>
      </c>
      <c r="B14" s="34">
        <v>40</v>
      </c>
      <c r="C14" s="34">
        <v>45</v>
      </c>
      <c r="E14"/>
    </row>
    <row r="15" spans="1:25" ht="15.75" customHeight="1" x14ac:dyDescent="0.2">
      <c r="A15" s="34" t="s">
        <v>688</v>
      </c>
      <c r="B15" s="34">
        <v>65</v>
      </c>
      <c r="C15" s="34">
        <v>65</v>
      </c>
      <c r="E15"/>
    </row>
    <row r="16" spans="1:25" ht="15.75" customHeight="1" x14ac:dyDescent="0.2">
      <c r="A16" s="34" t="s">
        <v>690</v>
      </c>
      <c r="B16" s="34">
        <v>55</v>
      </c>
      <c r="C16" s="34">
        <v>30</v>
      </c>
      <c r="E16"/>
    </row>
    <row r="17" spans="1:5" ht="15.75" customHeight="1" x14ac:dyDescent="0.2">
      <c r="A17" s="34" t="s">
        <v>691</v>
      </c>
      <c r="B17" s="34">
        <v>70</v>
      </c>
      <c r="E17"/>
    </row>
    <row r="18" spans="1:5" ht="15.75" customHeight="1" x14ac:dyDescent="0.2">
      <c r="A18" s="34" t="s">
        <v>689</v>
      </c>
      <c r="B18" s="34">
        <v>45</v>
      </c>
      <c r="C18" s="34">
        <v>80</v>
      </c>
      <c r="E18"/>
    </row>
    <row r="19" spans="1:5" ht="15.75" customHeight="1" x14ac:dyDescent="0.2">
      <c r="A19" s="34" t="s">
        <v>688</v>
      </c>
      <c r="B19" s="34">
        <v>25</v>
      </c>
      <c r="C19" s="34">
        <v>60</v>
      </c>
      <c r="E19"/>
    </row>
    <row r="20" spans="1:5" ht="15.75" customHeight="1" x14ac:dyDescent="0.2">
      <c r="A20" s="34" t="s">
        <v>689</v>
      </c>
      <c r="B20" s="34">
        <v>35</v>
      </c>
      <c r="E20"/>
    </row>
    <row r="21" spans="1:5" ht="15.75" customHeight="1" x14ac:dyDescent="0.2">
      <c r="A21" s="34" t="s">
        <v>690</v>
      </c>
      <c r="B21" s="34">
        <v>60</v>
      </c>
      <c r="C21" s="34">
        <v>30</v>
      </c>
      <c r="E21"/>
    </row>
    <row r="22" spans="1:5" ht="15.75" customHeight="1" x14ac:dyDescent="0.2">
      <c r="A22" s="34" t="s">
        <v>688</v>
      </c>
      <c r="B22" s="34">
        <v>70</v>
      </c>
      <c r="C22" s="34">
        <v>40</v>
      </c>
      <c r="E22"/>
    </row>
    <row r="23" spans="1:5" ht="15.75" customHeight="1" x14ac:dyDescent="0.2">
      <c r="A23" s="34" t="s">
        <v>689</v>
      </c>
      <c r="B23" s="34">
        <v>45</v>
      </c>
      <c r="C23" s="34">
        <v>55</v>
      </c>
      <c r="E23"/>
    </row>
    <row r="24" spans="1:5" ht="15.75" customHeight="1" x14ac:dyDescent="0.2">
      <c r="A24" s="34" t="s">
        <v>691</v>
      </c>
      <c r="B24" s="34">
        <v>25</v>
      </c>
      <c r="C24" s="34">
        <v>70</v>
      </c>
      <c r="E24"/>
    </row>
    <row r="25" spans="1:5" ht="15.75" customHeight="1" x14ac:dyDescent="0.2">
      <c r="A25" s="34" t="s">
        <v>692</v>
      </c>
      <c r="B25" s="34">
        <v>35</v>
      </c>
      <c r="E25"/>
    </row>
    <row r="26" spans="1:5" ht="15.75" customHeight="1" x14ac:dyDescent="0.2">
      <c r="A26" s="34" t="s">
        <v>690</v>
      </c>
      <c r="B26" s="34">
        <v>60</v>
      </c>
      <c r="C26" s="34">
        <v>50</v>
      </c>
      <c r="E26"/>
    </row>
    <row r="27" spans="1:5" ht="15.75" customHeight="1" x14ac:dyDescent="0.2">
      <c r="A27" s="34" t="s">
        <v>689</v>
      </c>
      <c r="B27" s="34">
        <v>80</v>
      </c>
      <c r="C27" s="34">
        <v>95</v>
      </c>
      <c r="E27"/>
    </row>
    <row r="28" spans="1:5" ht="15.75" customHeight="1" x14ac:dyDescent="0.2">
      <c r="A28" s="34" t="s">
        <v>688</v>
      </c>
      <c r="B28" s="34">
        <v>40</v>
      </c>
      <c r="C28" s="34">
        <v>75</v>
      </c>
      <c r="E28"/>
    </row>
    <row r="29" spans="1:5" ht="15.75" customHeight="1" x14ac:dyDescent="0.2">
      <c r="A29" s="34" t="s">
        <v>690</v>
      </c>
      <c r="B29" s="34">
        <v>65</v>
      </c>
      <c r="C29" s="34">
        <v>45</v>
      </c>
      <c r="E29"/>
    </row>
    <row r="30" spans="1:5" ht="15.75" customHeight="1" x14ac:dyDescent="0.2">
      <c r="A30" s="34" t="s">
        <v>689</v>
      </c>
      <c r="B30" s="34">
        <v>55</v>
      </c>
      <c r="C30" s="34">
        <v>65</v>
      </c>
      <c r="E30"/>
    </row>
    <row r="31" spans="1:5" ht="15.75" customHeight="1" x14ac:dyDescent="0.2">
      <c r="A31" s="34" t="s">
        <v>691</v>
      </c>
      <c r="B31" s="34">
        <v>70</v>
      </c>
      <c r="C31" s="34">
        <v>30</v>
      </c>
      <c r="E31"/>
    </row>
    <row r="32" spans="1:5" ht="15.75" customHeight="1" x14ac:dyDescent="0.2">
      <c r="A32" s="34" t="s">
        <v>688</v>
      </c>
      <c r="B32" s="34">
        <v>45</v>
      </c>
      <c r="E32"/>
    </row>
    <row r="33" spans="1:5" ht="15.75" customHeight="1" x14ac:dyDescent="0.2">
      <c r="A33" s="34" t="s">
        <v>689</v>
      </c>
      <c r="B33" s="34">
        <v>25</v>
      </c>
      <c r="C33" s="34">
        <v>80</v>
      </c>
      <c r="E33"/>
    </row>
    <row r="34" spans="1:5" ht="15.75" customHeight="1" x14ac:dyDescent="0.2">
      <c r="A34" s="34" t="s">
        <v>690</v>
      </c>
      <c r="B34" s="34">
        <v>35</v>
      </c>
      <c r="C34" s="34">
        <v>60</v>
      </c>
      <c r="E34"/>
    </row>
    <row r="35" spans="1:5" ht="15.75" customHeight="1" x14ac:dyDescent="0.2">
      <c r="A35" s="34" t="s">
        <v>688</v>
      </c>
      <c r="B35" s="34">
        <v>60</v>
      </c>
      <c r="C35" s="34">
        <v>100</v>
      </c>
      <c r="E35"/>
    </row>
    <row r="36" spans="1:5" ht="15.75" customHeight="1" x14ac:dyDescent="0.2">
      <c r="A36" s="34" t="s">
        <v>689</v>
      </c>
      <c r="B36" s="34">
        <v>80</v>
      </c>
      <c r="C36" s="34">
        <v>30</v>
      </c>
      <c r="E36"/>
    </row>
    <row r="37" spans="1:5" ht="15.75" customHeight="1" x14ac:dyDescent="0.2">
      <c r="A37" s="34" t="s">
        <v>691</v>
      </c>
      <c r="B37" s="34">
        <v>40</v>
      </c>
      <c r="E37"/>
    </row>
    <row r="38" spans="1:5" ht="15.75" customHeight="1" x14ac:dyDescent="0.2">
      <c r="A38" s="34" t="s">
        <v>692</v>
      </c>
      <c r="B38" s="34">
        <v>65</v>
      </c>
      <c r="C38" s="34">
        <v>55</v>
      </c>
      <c r="E38"/>
    </row>
    <row r="39" spans="1:5" ht="15.75" customHeight="1" x14ac:dyDescent="0.2">
      <c r="A39" s="34" t="s">
        <v>690</v>
      </c>
      <c r="B39" s="34">
        <v>55</v>
      </c>
      <c r="C39" s="34">
        <v>70</v>
      </c>
      <c r="E39"/>
    </row>
    <row r="40" spans="1:5" ht="15.75" customHeight="1" x14ac:dyDescent="0.2">
      <c r="A40" s="34" t="s">
        <v>689</v>
      </c>
      <c r="B40" s="34">
        <v>70</v>
      </c>
      <c r="C40" s="34">
        <v>85</v>
      </c>
      <c r="E40"/>
    </row>
    <row r="41" spans="1:5" ht="15.75" customHeight="1" x14ac:dyDescent="0.2">
      <c r="A41" s="34" t="s">
        <v>688</v>
      </c>
      <c r="B41" s="34">
        <v>40</v>
      </c>
      <c r="C41" s="34">
        <v>50</v>
      </c>
      <c r="E41"/>
    </row>
    <row r="42" spans="1:5" ht="15.75" customHeight="1" x14ac:dyDescent="0.2">
      <c r="A42" s="34" t="s">
        <v>690</v>
      </c>
      <c r="B42" s="34">
        <v>20</v>
      </c>
      <c r="C42" s="34">
        <v>95</v>
      </c>
      <c r="E42"/>
    </row>
    <row r="43" spans="1:5" ht="15.75" customHeight="1" x14ac:dyDescent="0.2">
      <c r="A43" s="34" t="s">
        <v>689</v>
      </c>
      <c r="B43" s="34">
        <v>90</v>
      </c>
      <c r="C43" s="34">
        <v>75</v>
      </c>
      <c r="E43"/>
    </row>
    <row r="44" spans="1:5" ht="15.75" customHeight="1" x14ac:dyDescent="0.2">
      <c r="A44" s="34" t="s">
        <v>691</v>
      </c>
      <c r="B44" s="34">
        <v>50</v>
      </c>
      <c r="C44" s="34">
        <v>45</v>
      </c>
      <c r="E44"/>
    </row>
    <row r="45" spans="1:5" ht="15.75" customHeight="1" x14ac:dyDescent="0.2">
      <c r="A45" s="34" t="s">
        <v>688</v>
      </c>
      <c r="B45" s="34">
        <v>60</v>
      </c>
      <c r="C45" s="34">
        <v>65</v>
      </c>
      <c r="E45"/>
    </row>
    <row r="46" spans="1:5" ht="15.75" customHeight="1" x14ac:dyDescent="0.2">
      <c r="A46" s="34" t="s">
        <v>689</v>
      </c>
      <c r="B46" s="34">
        <v>45</v>
      </c>
      <c r="E46"/>
    </row>
    <row r="47" spans="1:5" ht="15.75" customHeight="1" x14ac:dyDescent="0.2">
      <c r="A47" s="34" t="s">
        <v>690</v>
      </c>
      <c r="B47" s="34">
        <v>25</v>
      </c>
      <c r="E47"/>
    </row>
  </sheetData>
  <autoFilter ref="A1:C47" xr:uid="{FAEEDEE6-9EED-6C42-A8E4-CAAC47CB6F0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6A39-B007-D044-8232-70F6F95E32CC}">
  <sheetPr>
    <outlinePr summaryBelow="0" summaryRight="0"/>
  </sheetPr>
  <dimension ref="A1:Z8"/>
  <sheetViews>
    <sheetView workbookViewId="0">
      <selection activeCell="K22" sqref="K22"/>
    </sheetView>
  </sheetViews>
  <sheetFormatPr baseColWidth="10" defaultColWidth="15.19921875" defaultRowHeight="15.75" customHeight="1" x14ac:dyDescent="0.2"/>
  <cols>
    <col min="1" max="1" width="15.19921875" style="33"/>
    <col min="2" max="2" width="30.3984375" style="33" customWidth="1"/>
    <col min="3" max="3" width="24.19921875" style="33" customWidth="1"/>
    <col min="4" max="4" width="27.19921875" style="33" customWidth="1"/>
    <col min="5" max="16384" width="15.19921875" style="33"/>
  </cols>
  <sheetData>
    <row r="1" spans="1:26" ht="15.75" customHeight="1" x14ac:dyDescent="0.2">
      <c r="A1" s="32" t="s">
        <v>693</v>
      </c>
      <c r="B1" s="32" t="s">
        <v>694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 x14ac:dyDescent="0.2">
      <c r="A2" s="34" t="s">
        <v>695</v>
      </c>
      <c r="B2" s="34">
        <v>70</v>
      </c>
    </row>
    <row r="3" spans="1:26" ht="15.75" customHeight="1" x14ac:dyDescent="0.2">
      <c r="A3" s="34" t="s">
        <v>696</v>
      </c>
      <c r="B3" s="34">
        <v>42</v>
      </c>
    </row>
    <row r="4" spans="1:26" ht="15.75" customHeight="1" x14ac:dyDescent="0.2">
      <c r="A4" s="34" t="s">
        <v>697</v>
      </c>
      <c r="B4" s="34">
        <v>35</v>
      </c>
    </row>
    <row r="5" spans="1:26" ht="15.75" customHeight="1" x14ac:dyDescent="0.2">
      <c r="A5" s="34" t="s">
        <v>698</v>
      </c>
      <c r="B5" s="34">
        <v>23</v>
      </c>
    </row>
    <row r="6" spans="1:26" ht="15.75" customHeight="1" x14ac:dyDescent="0.2">
      <c r="A6" s="34" t="s">
        <v>699</v>
      </c>
      <c r="B6" s="34">
        <v>80</v>
      </c>
    </row>
    <row r="7" spans="1:26" ht="15.75" customHeight="1" x14ac:dyDescent="0.2">
      <c r="A7" s="34" t="s">
        <v>700</v>
      </c>
      <c r="B7" s="34">
        <v>62</v>
      </c>
    </row>
    <row r="8" spans="1:26" ht="15.75" customHeight="1" x14ac:dyDescent="0.2">
      <c r="A8" s="34" t="s">
        <v>701</v>
      </c>
      <c r="B8" s="34">
        <v>55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2BC1-65DB-DE4F-9EEE-D2522ADF7300}">
  <sheetPr>
    <outlinePr summaryBelow="0" summaryRight="0"/>
  </sheetPr>
  <dimension ref="A1:Z31"/>
  <sheetViews>
    <sheetView zoomScale="75" workbookViewId="0">
      <selection activeCell="B31" sqref="B31"/>
    </sheetView>
  </sheetViews>
  <sheetFormatPr baseColWidth="10" defaultColWidth="15.19921875" defaultRowHeight="15.75" customHeight="1" x14ac:dyDescent="0.2"/>
  <cols>
    <col min="1" max="1" width="15.19921875" style="33"/>
    <col min="2" max="2" width="30.3984375" style="33" customWidth="1"/>
    <col min="3" max="3" width="24.19921875" style="33" customWidth="1"/>
    <col min="4" max="4" width="27.19921875" style="33" customWidth="1"/>
    <col min="5" max="16384" width="15.19921875" style="33"/>
  </cols>
  <sheetData>
    <row r="1" spans="1:26" ht="15.75" customHeight="1" x14ac:dyDescent="0.2">
      <c r="A1" s="33" t="s">
        <v>702</v>
      </c>
      <c r="B1" s="33" t="s">
        <v>687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 x14ac:dyDescent="0.2">
      <c r="A2" s="33">
        <v>1</v>
      </c>
      <c r="B2" s="33">
        <v>70.5</v>
      </c>
    </row>
    <row r="3" spans="1:26" ht="15.75" customHeight="1" x14ac:dyDescent="0.2">
      <c r="A3" s="33">
        <v>2</v>
      </c>
      <c r="B3" s="33">
        <v>71</v>
      </c>
    </row>
    <row r="4" spans="1:26" ht="15.75" customHeight="1" x14ac:dyDescent="0.2">
      <c r="A4" s="33">
        <v>3</v>
      </c>
      <c r="B4" s="33">
        <v>70.5</v>
      </c>
    </row>
    <row r="5" spans="1:26" ht="15.75" customHeight="1" x14ac:dyDescent="0.2">
      <c r="A5" s="33">
        <v>4</v>
      </c>
      <c r="B5" s="33">
        <v>71</v>
      </c>
    </row>
    <row r="6" spans="1:26" ht="15.75" customHeight="1" x14ac:dyDescent="0.2">
      <c r="A6" s="33">
        <v>5</v>
      </c>
      <c r="B6" s="33">
        <v>71.5</v>
      </c>
    </row>
    <row r="7" spans="1:26" ht="15.75" customHeight="1" x14ac:dyDescent="0.2">
      <c r="A7" s="33">
        <v>6</v>
      </c>
      <c r="B7" s="33">
        <v>71</v>
      </c>
    </row>
    <row r="8" spans="1:26" ht="15.75" customHeight="1" x14ac:dyDescent="0.2">
      <c r="A8" s="33">
        <v>7</v>
      </c>
      <c r="B8" s="33">
        <v>71.5</v>
      </c>
    </row>
    <row r="9" spans="1:26" ht="15.75" customHeight="1" x14ac:dyDescent="0.2">
      <c r="A9" s="33">
        <v>8</v>
      </c>
      <c r="B9" s="33">
        <v>72</v>
      </c>
    </row>
    <row r="10" spans="1:26" ht="15.75" customHeight="1" x14ac:dyDescent="0.2">
      <c r="A10" s="33">
        <v>9</v>
      </c>
      <c r="B10" s="33">
        <v>71.5</v>
      </c>
    </row>
    <row r="11" spans="1:26" ht="15.75" customHeight="1" x14ac:dyDescent="0.2">
      <c r="A11" s="33">
        <v>10</v>
      </c>
      <c r="B11" s="33">
        <v>72</v>
      </c>
    </row>
    <row r="12" spans="1:26" ht="15.75" customHeight="1" x14ac:dyDescent="0.2">
      <c r="A12" s="33">
        <v>11</v>
      </c>
      <c r="B12" s="33">
        <v>72.400000000000006</v>
      </c>
    </row>
    <row r="13" spans="1:26" ht="15.75" customHeight="1" x14ac:dyDescent="0.2">
      <c r="A13" s="33">
        <v>12</v>
      </c>
      <c r="B13" s="33">
        <v>72.900000000000006</v>
      </c>
    </row>
    <row r="14" spans="1:26" ht="15.75" customHeight="1" x14ac:dyDescent="0.2">
      <c r="A14" s="33">
        <v>13</v>
      </c>
      <c r="B14" s="33">
        <v>72.400000000000006</v>
      </c>
    </row>
    <row r="15" spans="1:26" ht="15.75" customHeight="1" x14ac:dyDescent="0.2">
      <c r="A15" s="33">
        <v>14</v>
      </c>
      <c r="B15" s="33">
        <v>72.900000000000006</v>
      </c>
    </row>
    <row r="16" spans="1:26" ht="15.75" customHeight="1" x14ac:dyDescent="0.2">
      <c r="A16" s="33">
        <v>15</v>
      </c>
      <c r="B16" s="33">
        <v>73.400000000000006</v>
      </c>
    </row>
    <row r="17" spans="1:2" ht="15.75" customHeight="1" x14ac:dyDescent="0.2">
      <c r="A17" s="33">
        <v>16</v>
      </c>
      <c r="B17" s="33">
        <v>72.900000000000006</v>
      </c>
    </row>
    <row r="18" spans="1:2" ht="15.75" customHeight="1" x14ac:dyDescent="0.2">
      <c r="A18" s="33">
        <v>17</v>
      </c>
      <c r="B18" s="33">
        <v>73.400000000000006</v>
      </c>
    </row>
    <row r="19" spans="1:2" ht="15.75" customHeight="1" x14ac:dyDescent="0.2">
      <c r="A19" s="33">
        <v>18</v>
      </c>
      <c r="B19" s="33">
        <v>73.900000000000006</v>
      </c>
    </row>
    <row r="20" spans="1:2" ht="15.75" customHeight="1" x14ac:dyDescent="0.2">
      <c r="A20" s="33">
        <v>19</v>
      </c>
      <c r="B20" s="33">
        <v>73.400000000000006</v>
      </c>
    </row>
    <row r="21" spans="1:2" ht="15.75" customHeight="1" x14ac:dyDescent="0.2">
      <c r="A21" s="33">
        <v>20</v>
      </c>
      <c r="B21" s="33">
        <v>73.900000000000006</v>
      </c>
    </row>
    <row r="22" spans="1:2" ht="15.75" customHeight="1" x14ac:dyDescent="0.2">
      <c r="A22" s="33">
        <v>21</v>
      </c>
      <c r="B22" s="33">
        <v>74.400000000000006</v>
      </c>
    </row>
    <row r="23" spans="1:2" ht="15.75" customHeight="1" x14ac:dyDescent="0.2">
      <c r="A23" s="33">
        <v>22</v>
      </c>
      <c r="B23" s="33">
        <v>73.900000000000006</v>
      </c>
    </row>
    <row r="24" spans="1:2" ht="15.75" customHeight="1" x14ac:dyDescent="0.2">
      <c r="A24" s="33">
        <v>23</v>
      </c>
      <c r="B24" s="33">
        <v>74.400000000000006</v>
      </c>
    </row>
    <row r="25" spans="1:2" ht="15.75" customHeight="1" x14ac:dyDescent="0.2">
      <c r="A25" s="33">
        <v>24</v>
      </c>
      <c r="B25" s="33">
        <v>74.900000000000006</v>
      </c>
    </row>
    <row r="26" spans="1:2" ht="15.75" customHeight="1" x14ac:dyDescent="0.2">
      <c r="A26" s="33">
        <v>25</v>
      </c>
      <c r="B26" s="33">
        <v>74.400000000000006</v>
      </c>
    </row>
    <row r="27" spans="1:2" ht="15.75" customHeight="1" x14ac:dyDescent="0.2">
      <c r="A27" s="33">
        <v>26</v>
      </c>
      <c r="B27" s="33">
        <v>74.900000000000006</v>
      </c>
    </row>
    <row r="28" spans="1:2" ht="15.75" customHeight="1" x14ac:dyDescent="0.2">
      <c r="A28" s="33">
        <v>27</v>
      </c>
      <c r="B28" s="33">
        <v>75.400000000000006</v>
      </c>
    </row>
    <row r="29" spans="1:2" ht="15.75" customHeight="1" x14ac:dyDescent="0.2">
      <c r="A29" s="33">
        <v>28</v>
      </c>
      <c r="B29" s="33">
        <v>74.900000000000006</v>
      </c>
    </row>
    <row r="30" spans="1:2" ht="15.75" customHeight="1" x14ac:dyDescent="0.2">
      <c r="A30" s="33">
        <v>29</v>
      </c>
      <c r="B30" s="33">
        <v>75.400000000000006</v>
      </c>
    </row>
    <row r="31" spans="1:2" ht="15.75" customHeight="1" x14ac:dyDescent="0.2">
      <c r="A31" s="33">
        <v>30</v>
      </c>
      <c r="B31" s="33">
        <v>75.900000000000006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743D-D8F9-E54D-AC20-4742036A18C0}">
  <sheetPr>
    <outlinePr summaryBelow="0" summaryRight="0"/>
  </sheetPr>
  <dimension ref="A1:Z11"/>
  <sheetViews>
    <sheetView tabSelected="1" zoomScale="75" workbookViewId="0">
      <selection activeCell="I48" sqref="I48"/>
    </sheetView>
  </sheetViews>
  <sheetFormatPr baseColWidth="10" defaultColWidth="15.19921875" defaultRowHeight="15.75" customHeight="1" x14ac:dyDescent="0.2"/>
  <cols>
    <col min="1" max="1" width="15.19921875" style="33"/>
    <col min="2" max="2" width="30.3984375" style="33" customWidth="1"/>
    <col min="3" max="3" width="24.19921875" style="33" customWidth="1"/>
    <col min="4" max="4" width="27.19921875" style="33" customWidth="1"/>
    <col min="5" max="16384" width="15.19921875" style="33"/>
  </cols>
  <sheetData>
    <row r="1" spans="1:26" ht="15.75" customHeight="1" x14ac:dyDescent="0.2">
      <c r="A1" s="32" t="s">
        <v>703</v>
      </c>
      <c r="B1" s="32" t="s">
        <v>704</v>
      </c>
      <c r="C1" s="32" t="s">
        <v>705</v>
      </c>
      <c r="D1" s="32" t="s">
        <v>706</v>
      </c>
      <c r="E1" s="32" t="s">
        <v>707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 x14ac:dyDescent="0.2">
      <c r="A2" s="34" t="s">
        <v>708</v>
      </c>
      <c r="B2" s="34">
        <v>12</v>
      </c>
      <c r="C2" s="34">
        <v>1</v>
      </c>
      <c r="D2" s="34">
        <v>2</v>
      </c>
      <c r="E2" s="34">
        <v>5</v>
      </c>
    </row>
    <row r="3" spans="1:26" ht="15.75" customHeight="1" x14ac:dyDescent="0.2">
      <c r="A3" s="34" t="s">
        <v>709</v>
      </c>
      <c r="B3" s="34">
        <v>25</v>
      </c>
      <c r="C3" s="34">
        <v>7</v>
      </c>
      <c r="D3" s="34">
        <v>11</v>
      </c>
      <c r="E3" s="34">
        <v>23</v>
      </c>
    </row>
    <row r="4" spans="1:26" ht="15.75" customHeight="1" x14ac:dyDescent="0.2">
      <c r="A4" s="34" t="s">
        <v>710</v>
      </c>
      <c r="B4" s="34">
        <v>8</v>
      </c>
      <c r="C4" s="34">
        <v>2</v>
      </c>
      <c r="D4" s="34">
        <v>1</v>
      </c>
      <c r="E4" s="34">
        <v>3</v>
      </c>
    </row>
    <row r="5" spans="1:26" ht="15.75" customHeight="1" x14ac:dyDescent="0.2">
      <c r="A5" s="34" t="s">
        <v>711</v>
      </c>
      <c r="B5" s="34">
        <v>1</v>
      </c>
      <c r="C5" s="34">
        <v>1</v>
      </c>
      <c r="D5" s="34">
        <v>7</v>
      </c>
      <c r="E5" s="34">
        <v>5</v>
      </c>
    </row>
    <row r="6" spans="1:26" ht="15.75" customHeight="1" x14ac:dyDescent="0.2">
      <c r="A6" s="34" t="s">
        <v>712</v>
      </c>
      <c r="B6" s="34">
        <v>18</v>
      </c>
      <c r="C6" s="34">
        <v>13</v>
      </c>
      <c r="D6" s="34">
        <v>9</v>
      </c>
      <c r="E6" s="34">
        <v>9</v>
      </c>
    </row>
    <row r="7" spans="1:26" ht="15.75" customHeight="1" x14ac:dyDescent="0.2">
      <c r="A7" s="34" t="s">
        <v>713</v>
      </c>
      <c r="B7" s="34">
        <v>6</v>
      </c>
      <c r="C7" s="34">
        <v>1</v>
      </c>
      <c r="D7" s="34">
        <v>11</v>
      </c>
      <c r="E7" s="34">
        <v>11</v>
      </c>
    </row>
    <row r="8" spans="1:26" ht="15.75" customHeight="1" x14ac:dyDescent="0.2">
      <c r="A8" s="34" t="s">
        <v>714</v>
      </c>
      <c r="B8" s="34">
        <v>2</v>
      </c>
      <c r="C8" s="34">
        <v>8</v>
      </c>
      <c r="D8" s="34">
        <v>38</v>
      </c>
      <c r="E8" s="34">
        <v>6</v>
      </c>
    </row>
    <row r="9" spans="1:26" ht="15.75" customHeight="1" x14ac:dyDescent="0.2">
      <c r="A9" s="34" t="s">
        <v>715</v>
      </c>
      <c r="B9" s="34">
        <v>4</v>
      </c>
      <c r="C9" s="34">
        <v>39</v>
      </c>
      <c r="D9" s="34">
        <v>5</v>
      </c>
      <c r="E9" s="34">
        <v>22</v>
      </c>
    </row>
    <row r="10" spans="1:26" ht="15.75" customHeight="1" x14ac:dyDescent="0.2">
      <c r="A10" s="34" t="s">
        <v>716</v>
      </c>
      <c r="B10" s="34">
        <v>20</v>
      </c>
      <c r="C10" s="34">
        <v>17</v>
      </c>
      <c r="D10" s="34">
        <v>14</v>
      </c>
      <c r="E10" s="34">
        <v>12</v>
      </c>
    </row>
    <row r="11" spans="1:26" ht="15.75" customHeight="1" x14ac:dyDescent="0.2">
      <c r="A11" s="34" t="s">
        <v>717</v>
      </c>
      <c r="B11" s="34">
        <v>4</v>
      </c>
      <c r="C11" s="34">
        <v>11</v>
      </c>
      <c r="D11" s="34">
        <v>2</v>
      </c>
      <c r="E11" s="3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21</vt:i4>
      </vt:variant>
    </vt:vector>
  </HeadingPairs>
  <TitlesOfParts>
    <vt:vector size="29" baseType="lpstr">
      <vt:lpstr>Assoluti_Iva</vt:lpstr>
      <vt:lpstr>Giudizio</vt:lpstr>
      <vt:lpstr>Fatture</vt:lpstr>
      <vt:lpstr>Parcheggio</vt:lpstr>
      <vt:lpstr>Frutta</vt:lpstr>
      <vt:lpstr>Cibi</vt:lpstr>
      <vt:lpstr>Peso</vt:lpstr>
      <vt:lpstr>Snacks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Greta Merzetti</cp:lastModifiedBy>
  <dcterms:created xsi:type="dcterms:W3CDTF">2005-04-12T12:35:30Z</dcterms:created>
  <dcterms:modified xsi:type="dcterms:W3CDTF">2025-12-15T10:39:26Z</dcterms:modified>
</cp:coreProperties>
</file>